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Excel\"/>
    </mc:Choice>
  </mc:AlternateContent>
  <xr:revisionPtr revIDLastSave="0" documentId="13_ncr:1_{3A057D6A-994B-4B59-98D4-1F2E76889D8A}" xr6:coauthVersionLast="47" xr6:coauthVersionMax="47" xr10:uidLastSave="{00000000-0000-0000-0000-000000000000}"/>
  <bookViews>
    <workbookView xWindow="-110" yWindow="-110" windowWidth="19420" windowHeight="10420" tabRatio="581" firstSheet="7" activeTab="12" xr2:uid="{E4A80007-7968-442E-93BF-CE46AD08527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chart in excel" sheetId="8" r:id="rId6"/>
    <sheet name="Sheet11" sheetId="11" r:id="rId7"/>
    <sheet name="sheet6" sheetId="10" r:id="rId8"/>
    <sheet name="Sheet17" sheetId="17" r:id="rId9"/>
    <sheet name="Sheet15" sheetId="15" r:id="rId10"/>
    <sheet name="Dashboarding in Excel" sheetId="16" r:id="rId11"/>
    <sheet name="Sheet21" sheetId="21" r:id="rId12"/>
    <sheet name="Sheet22" sheetId="22" r:id="rId13"/>
  </sheets>
  <definedNames>
    <definedName name="_xlnm._FilterDatabase" localSheetId="11" hidden="1">Sheet21!$A$3:$H$3</definedName>
    <definedName name="_xlnm._FilterDatabase" localSheetId="3" hidden="1">Sheet4!$A$3:$C$6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2" l="1"/>
  <c r="G5" i="22"/>
  <c r="G3" i="22"/>
  <c r="F5" i="21" l="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4" i="21"/>
  <c r="D17" i="3" l="1"/>
  <c r="D18" i="3"/>
  <c r="D19" i="3"/>
  <c r="D20" i="3"/>
  <c r="D21" i="3"/>
  <c r="D22" i="3"/>
  <c r="D23" i="3"/>
  <c r="D24" i="3"/>
  <c r="D25" i="3"/>
  <c r="D16" i="3"/>
  <c r="H5" i="3"/>
  <c r="H6" i="3"/>
  <c r="H7" i="3"/>
  <c r="H8" i="3"/>
  <c r="H9" i="3"/>
  <c r="H10" i="3"/>
  <c r="H11" i="3"/>
  <c r="H13" i="3"/>
  <c r="H4" i="3"/>
  <c r="G5" i="3"/>
  <c r="G6" i="3"/>
  <c r="G7" i="3"/>
  <c r="G8" i="3"/>
  <c r="G9" i="3"/>
  <c r="G10" i="3"/>
  <c r="G11" i="3"/>
  <c r="G12" i="3"/>
  <c r="H12" i="3" s="1"/>
  <c r="G13" i="3"/>
  <c r="G4" i="3"/>
  <c r="F5" i="3"/>
  <c r="F6" i="3"/>
  <c r="F7" i="3"/>
  <c r="F8" i="3"/>
  <c r="F9" i="3"/>
  <c r="F10" i="3"/>
  <c r="F11" i="3"/>
  <c r="F12" i="3"/>
  <c r="F13" i="3"/>
  <c r="F4" i="3"/>
  <c r="K20" i="2" l="1"/>
  <c r="K19" i="2"/>
  <c r="J12" i="2"/>
  <c r="J11" i="2"/>
  <c r="G19" i="2"/>
  <c r="G18" i="2"/>
  <c r="G17" i="2"/>
  <c r="G16" i="2"/>
  <c r="G15" i="2"/>
  <c r="G14" i="2"/>
  <c r="B15" i="2" l="1"/>
  <c r="B18" i="2"/>
  <c r="B13" i="2"/>
  <c r="B12" i="2"/>
  <c r="B10" i="2"/>
  <c r="B7" i="2"/>
  <c r="B6" i="2"/>
  <c r="B4" i="2"/>
  <c r="G11" i="1"/>
  <c r="G12" i="1"/>
  <c r="G13" i="1"/>
  <c r="G10" i="1"/>
  <c r="F8" i="1"/>
  <c r="M22" i="1"/>
  <c r="M20" i="1" l="1"/>
  <c r="M18" i="1"/>
  <c r="M15" i="1"/>
  <c r="M12" i="1"/>
  <c r="M11" i="1"/>
  <c r="N5" i="1"/>
  <c r="N6" i="1"/>
  <c r="N7" i="1"/>
  <c r="N8" i="1"/>
  <c r="N4" i="1"/>
  <c r="I11" i="1"/>
  <c r="I8" i="1"/>
  <c r="I6" i="1"/>
  <c r="I4" i="1"/>
  <c r="G6" i="1"/>
  <c r="G5" i="1"/>
  <c r="G3" i="1"/>
  <c r="F3" i="1"/>
  <c r="D16" i="1" l="1"/>
  <c r="D14" i="1"/>
  <c r="D12" i="1"/>
  <c r="D10" i="1"/>
  <c r="D8" i="1"/>
  <c r="D7" i="1"/>
  <c r="D5" i="1"/>
  <c r="O22" i="4"/>
  <c r="O22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<sst xmlns="http://schemas.openxmlformats.org/spreadsheetml/2006/main" count="709" uniqueCount="201">
  <si>
    <t>ROLL NO</t>
  </si>
  <si>
    <t>NAME</t>
  </si>
  <si>
    <t>MATHS</t>
  </si>
  <si>
    <t>Raviteja</t>
  </si>
  <si>
    <t>Hudha</t>
  </si>
  <si>
    <t>Hema</t>
  </si>
  <si>
    <t>Simha</t>
  </si>
  <si>
    <t>Khushiraa</t>
  </si>
  <si>
    <t>Prerana</t>
  </si>
  <si>
    <t>Uma</t>
  </si>
  <si>
    <t>Girija</t>
  </si>
  <si>
    <t>Latha</t>
  </si>
  <si>
    <t>Kareem</t>
  </si>
  <si>
    <t>ROUND</t>
  </si>
  <si>
    <t>SQRT</t>
  </si>
  <si>
    <t xml:space="preserve">  MIN</t>
  </si>
  <si>
    <t>MAX</t>
  </si>
  <si>
    <t>SUM</t>
  </si>
  <si>
    <t>AVERAGE</t>
  </si>
  <si>
    <t>MEDIAAN</t>
  </si>
  <si>
    <t>RANK</t>
  </si>
  <si>
    <t>LEFT</t>
  </si>
  <si>
    <t>RIGHT</t>
  </si>
  <si>
    <t>LEN</t>
  </si>
  <si>
    <t>SIMHA</t>
  </si>
  <si>
    <t>HEMA</t>
  </si>
  <si>
    <t>PRE DEFINDED</t>
  </si>
  <si>
    <t>DATE TIME FUNCTION</t>
  </si>
  <si>
    <t>DATE</t>
  </si>
  <si>
    <t>EOMONTH</t>
  </si>
  <si>
    <t>NETWORK DAYS</t>
  </si>
  <si>
    <t>WEEKDAY</t>
  </si>
  <si>
    <t>STRING FUNCTION</t>
  </si>
  <si>
    <t>FIND</t>
  </si>
  <si>
    <t>A</t>
  </si>
  <si>
    <t>P</t>
  </si>
  <si>
    <t>L</t>
  </si>
  <si>
    <t>E</t>
  </si>
  <si>
    <t>APPLE</t>
  </si>
  <si>
    <t>REPLACE</t>
  </si>
  <si>
    <t>OLD</t>
  </si>
  <si>
    <t>NEW</t>
  </si>
  <si>
    <t>ABC-2017-001</t>
  </si>
  <si>
    <t>SUBSTITUTE</t>
  </si>
  <si>
    <t>MID</t>
  </si>
  <si>
    <t>SEARCH</t>
  </si>
  <si>
    <t>CONTAT</t>
  </si>
  <si>
    <t>THIRD DAY</t>
  </si>
  <si>
    <t>FOURTH DAY</t>
  </si>
  <si>
    <t xml:space="preserve"> </t>
  </si>
  <si>
    <t>MATHEMATIJCAL FUNCTION</t>
  </si>
  <si>
    <t>PRODUCT</t>
  </si>
  <si>
    <t>MOD</t>
  </si>
  <si>
    <t>FACT</t>
  </si>
  <si>
    <t>ROUND UP</t>
  </si>
  <si>
    <t>ROUND DOWN</t>
  </si>
  <si>
    <t>CITY</t>
  </si>
  <si>
    <t>SALES</t>
  </si>
  <si>
    <t>HYDERABAD</t>
  </si>
  <si>
    <t>MILK</t>
  </si>
  <si>
    <t>CURD</t>
  </si>
  <si>
    <t>ICE CREAM</t>
  </si>
  <si>
    <t>DELHI</t>
  </si>
  <si>
    <t>MUMBAI</t>
  </si>
  <si>
    <t>SUMIF</t>
  </si>
  <si>
    <t>SUMIFS</t>
  </si>
  <si>
    <t>AVERAGE IF</t>
  </si>
  <si>
    <t>AVERAGEIFS</t>
  </si>
  <si>
    <t>FIFTH DAY</t>
  </si>
  <si>
    <t>LOOKUP</t>
  </si>
  <si>
    <t>HLOOKUP AND VLOOKUP</t>
  </si>
  <si>
    <t>PRODUCT CODE</t>
  </si>
  <si>
    <t xml:space="preserve">PRODUCT NAME </t>
  </si>
  <si>
    <t xml:space="preserve">BEST PRICE </t>
  </si>
  <si>
    <t>TV</t>
  </si>
  <si>
    <t>FRIDGE</t>
  </si>
  <si>
    <t>AC</t>
  </si>
  <si>
    <t>WASH MACHINE</t>
  </si>
  <si>
    <t>CAMERA</t>
  </si>
  <si>
    <t>AMOUNT</t>
  </si>
  <si>
    <t>DISCOUNT</t>
  </si>
  <si>
    <t>ABOVE</t>
  </si>
  <si>
    <t xml:space="preserve">PRODUT NAME </t>
  </si>
  <si>
    <t>DISCPUNT</t>
  </si>
  <si>
    <t>SIXTH DAY</t>
  </si>
  <si>
    <t>LOGICAL AND ERROR FUNCTIONS</t>
  </si>
  <si>
    <t>S.NO</t>
  </si>
  <si>
    <t>SCIENCE</t>
  </si>
  <si>
    <t>SOCIAL</t>
  </si>
  <si>
    <t>PROMOTE</t>
  </si>
  <si>
    <t>PASS</t>
  </si>
  <si>
    <t>FAIL</t>
  </si>
  <si>
    <t>RESULT</t>
  </si>
  <si>
    <t>SEVENTH DAY</t>
  </si>
  <si>
    <t>SECOND DAY</t>
  </si>
  <si>
    <t xml:space="preserve">EIGHTH DAY </t>
  </si>
  <si>
    <t>STATISTICAL FUNCTION</t>
  </si>
  <si>
    <t>IMAGE IN EXCEL</t>
  </si>
  <si>
    <t>NINTH DAY</t>
  </si>
  <si>
    <t>COMPANY</t>
  </si>
  <si>
    <t>LOGO</t>
  </si>
  <si>
    <t>NETFLEX</t>
  </si>
  <si>
    <t>AMAZON</t>
  </si>
  <si>
    <t>GOOGLE</t>
  </si>
  <si>
    <t>EXCEL FORMATING</t>
  </si>
  <si>
    <t>TANTH DAY</t>
  </si>
  <si>
    <t>S.no</t>
  </si>
  <si>
    <t>Student name</t>
  </si>
  <si>
    <t>Gender</t>
  </si>
  <si>
    <t>Percentage</t>
  </si>
  <si>
    <t>Integer Group</t>
  </si>
  <si>
    <t>Date of Admission</t>
  </si>
  <si>
    <t>State</t>
  </si>
  <si>
    <t>Bhavani</t>
  </si>
  <si>
    <t>Female</t>
  </si>
  <si>
    <t>CEC</t>
  </si>
  <si>
    <t>Andhra Pradesh</t>
  </si>
  <si>
    <t>Sowmya</t>
  </si>
  <si>
    <t>MEC</t>
  </si>
  <si>
    <t>Telangana</t>
  </si>
  <si>
    <t>Mishra</t>
  </si>
  <si>
    <t>Hyderabad</t>
  </si>
  <si>
    <t>Arbaz Hussian</t>
  </si>
  <si>
    <t>Male</t>
  </si>
  <si>
    <t>Fatima</t>
  </si>
  <si>
    <t>kerala</t>
  </si>
  <si>
    <t>Ashis yadav</t>
  </si>
  <si>
    <t>Hemanth</t>
  </si>
  <si>
    <t>MPC</t>
  </si>
  <si>
    <t>Vijayawada</t>
  </si>
  <si>
    <t>CTRL+1</t>
  </si>
  <si>
    <t>(FORMAT CELL)</t>
  </si>
  <si>
    <t>CUSTOM FORMATING</t>
  </si>
  <si>
    <t>LEVENTH DA Y</t>
  </si>
  <si>
    <t>number</t>
  </si>
  <si>
    <t>0.0</t>
  </si>
  <si>
    <t>#.0</t>
  </si>
  <si>
    <t>0.00</t>
  </si>
  <si>
    <t>#.00</t>
  </si>
  <si>
    <t>#.000</t>
  </si>
  <si>
    <t>conditional formating</t>
  </si>
  <si>
    <t xml:space="preserve">crediscore </t>
  </si>
  <si>
    <t>age</t>
  </si>
  <si>
    <t>tenure</t>
  </si>
  <si>
    <t>balance</t>
  </si>
  <si>
    <t>estimatedsalary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</si>
  <si>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</si>
  <si>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</si>
  <si>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</si>
  <si>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</si>
  <si>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</si>
  <si>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</si>
  <si>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</si>
  <si>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</si>
  <si>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</si>
  <si>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</si>
  <si>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</si>
  <si>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</si>
  <si>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</si>
  <si>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Point</t>
  </si>
  <si>
    <t>Rank</t>
  </si>
  <si>
    <t>Percent</t>
  </si>
  <si>
    <t>use functions</t>
  </si>
  <si>
    <t xml:space="preserve"> go to data analysis then select what do you want that  option and give input range.click ok </t>
  </si>
  <si>
    <t xml:space="preserve">chart in excel and data analysis </t>
  </si>
  <si>
    <t xml:space="preserve">this two topics are same </t>
  </si>
  <si>
    <t>13th &amp;14th days</t>
  </si>
  <si>
    <t>12th day</t>
  </si>
  <si>
    <t>pivote tablle</t>
  </si>
  <si>
    <t>15th day</t>
  </si>
  <si>
    <t>Row Labels</t>
  </si>
  <si>
    <t>Sum of Percentage</t>
  </si>
  <si>
    <t>Grand Total</t>
  </si>
  <si>
    <t>Column Labels</t>
  </si>
  <si>
    <t>(All)</t>
  </si>
  <si>
    <t>b</t>
  </si>
  <si>
    <t>salary/balance</t>
  </si>
  <si>
    <t>name</t>
  </si>
  <si>
    <t>Chalam</t>
  </si>
  <si>
    <t>Sri</t>
  </si>
  <si>
    <t>In Data Tab Use This text To Columns</t>
  </si>
  <si>
    <t>wrap text</t>
  </si>
  <si>
    <t>Hema,latha,simha,khushiraa,prerana,jyothirmai.</t>
  </si>
  <si>
    <t>(Hema,latha,simha,khushiraa,prerana,jyothirmai.)this convert to</t>
  </si>
  <si>
    <t>this is wrap text</t>
  </si>
  <si>
    <t xml:space="preserve">OTHERS </t>
  </si>
  <si>
    <t>17TH DAY</t>
  </si>
  <si>
    <t>Dashboarding in Eexcel</t>
  </si>
  <si>
    <t>16TH DAY</t>
  </si>
  <si>
    <t>"SimhaChalam will be splitted to " Simha Chalam",If you use the "text to columns" this option."</t>
  </si>
  <si>
    <t>students</t>
  </si>
  <si>
    <t>semester 2</t>
  </si>
  <si>
    <t>semester 1</t>
  </si>
  <si>
    <t xml:space="preserve">semester 3 </t>
  </si>
  <si>
    <t>semester 4</t>
  </si>
  <si>
    <t>capstone</t>
  </si>
  <si>
    <t>overall marks</t>
  </si>
  <si>
    <t>khushiraa</t>
  </si>
  <si>
    <t>prerana</t>
  </si>
  <si>
    <t>nitya sri</t>
  </si>
  <si>
    <t>```````````````````````````````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</si>
</sst>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000"/>
    <numFmt numFmtId="165" formatCode="[$-F800]dddd\,\ mmmm\ dd\,\ yyyy"/>
    <numFmt numFmtId="166" formatCode="[$-409]d\-mmm\-yy;@"/>
    <numFmt numFmtId="167" formatCode="#,##0;#,##0\c"/>
    <numFmt numFmtId="168" formatCode="#,##0.00,&quot;negative&quot;"/>
    <numFmt numFmtId="169" formatCode="#,##0,&quot;negative&quot;"/>
    <numFmt numFmtId="170" formatCode="00"/>
    <numFmt numFmtId="171" formatCode="0.0"/>
    <numFmt numFmtId="172" formatCode="#.0"/>
    <numFmt numFmtId="173" formatCode="#.00"/>
    <numFmt numFmtId="174" formatCode="#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3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double">
        <color rgb="FF3F3F3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/>
      <top style="medium">
        <color indexed="64"/>
      </top>
      <bottom/>
      <diagonal/>
    </border>
    <border>
      <left style="double">
        <color rgb="FF3F3F3F"/>
      </left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9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8" fillId="6" borderId="26" applyNumberFormat="0" applyAlignment="0" applyProtection="0"/>
    <xf numFmtId="0" fontId="1" fillId="7" borderId="0" applyNumberFormat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/>
    <xf numFmtId="0" fontId="3" fillId="4" borderId="4" xfId="0" applyFont="1" applyFill="1" applyBorder="1"/>
    <xf numFmtId="0" fontId="0" fillId="5" borderId="4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8" xfId="0" applyFont="1" applyBorder="1"/>
    <xf numFmtId="0" fontId="3" fillId="0" borderId="11" xfId="0" applyFont="1" applyBorder="1"/>
    <xf numFmtId="0" fontId="1" fillId="3" borderId="4" xfId="3" applyBorder="1"/>
    <xf numFmtId="9" fontId="1" fillId="3" borderId="4" xfId="3" applyNumberFormat="1" applyBorder="1"/>
    <xf numFmtId="0" fontId="1" fillId="3" borderId="4" xfId="3" applyBorder="1" applyAlignment="1">
      <alignment wrapText="1"/>
    </xf>
    <xf numFmtId="9" fontId="0" fillId="0" borderId="4" xfId="2" applyFont="1" applyBorder="1"/>
    <xf numFmtId="0" fontId="4" fillId="2" borderId="8" xfId="1" applyBorder="1"/>
    <xf numFmtId="0" fontId="4" fillId="2" borderId="0" xfId="1" applyBorder="1" applyAlignment="1">
      <alignment wrapText="1"/>
    </xf>
    <xf numFmtId="0" fontId="4" fillId="2" borderId="0" xfId="1" applyBorder="1"/>
    <xf numFmtId="0" fontId="1" fillId="3" borderId="14" xfId="3" applyBorder="1"/>
    <xf numFmtId="0" fontId="4" fillId="2" borderId="9" xfId="1" applyBorder="1"/>
    <xf numFmtId="0" fontId="4" fillId="2" borderId="8" xfId="1" applyBorder="1" applyAlignment="1">
      <alignment wrapText="1"/>
    </xf>
    <xf numFmtId="0" fontId="1" fillId="3" borderId="15" xfId="3" applyBorder="1"/>
    <xf numFmtId="9" fontId="1" fillId="3" borderId="15" xfId="3" applyNumberFormat="1" applyBorder="1"/>
    <xf numFmtId="0" fontId="3" fillId="0" borderId="7" xfId="0" applyFont="1" applyBorder="1"/>
    <xf numFmtId="0" fontId="3" fillId="0" borderId="4" xfId="0" applyFont="1" applyBorder="1"/>
    <xf numFmtId="0" fontId="3" fillId="0" borderId="14" xfId="0" applyFont="1" applyBorder="1"/>
    <xf numFmtId="0" fontId="3" fillId="0" borderId="15" xfId="0" applyFont="1" applyBorder="1"/>
    <xf numFmtId="0" fontId="0" fillId="0" borderId="14" xfId="0" applyBorder="1"/>
    <xf numFmtId="0" fontId="0" fillId="0" borderId="15" xfId="0" applyBorder="1"/>
    <xf numFmtId="0" fontId="0" fillId="0" borderId="22" xfId="0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3" fillId="0" borderId="24" xfId="0" applyFont="1" applyBorder="1"/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7" xfId="0" applyBorder="1"/>
    <xf numFmtId="3" fontId="0" fillId="0" borderId="0" xfId="0" applyNumberFormat="1"/>
    <xf numFmtId="0" fontId="9" fillId="2" borderId="27" xfId="1" applyFont="1" applyBorder="1"/>
    <xf numFmtId="0" fontId="9" fillId="2" borderId="0" xfId="1" applyFont="1"/>
    <xf numFmtId="0" fontId="8" fillId="6" borderId="26" xfId="4"/>
    <xf numFmtId="14" fontId="8" fillId="6" borderId="26" xfId="4" applyNumberFormat="1"/>
    <xf numFmtId="0" fontId="1" fillId="7" borderId="26" xfId="5" applyBorder="1"/>
    <xf numFmtId="14" fontId="1" fillId="7" borderId="26" xfId="5" applyNumberFormat="1" applyBorder="1"/>
    <xf numFmtId="0" fontId="9" fillId="2" borderId="27" xfId="1" applyFont="1" applyBorder="1" applyAlignment="1">
      <alignment horizontal="center" wrapText="1"/>
    </xf>
    <xf numFmtId="0" fontId="9" fillId="2" borderId="0" xfId="1" applyFont="1" applyAlignment="1">
      <alignment wrapText="1"/>
    </xf>
    <xf numFmtId="0" fontId="1" fillId="7" borderId="26" xfId="5" applyBorder="1" applyAlignment="1">
      <alignment wrapText="1"/>
    </xf>
    <xf numFmtId="164" fontId="0" fillId="0" borderId="0" xfId="0" applyNumberFormat="1"/>
    <xf numFmtId="165" fontId="8" fillId="6" borderId="26" xfId="4" applyNumberFormat="1"/>
    <xf numFmtId="2" fontId="8" fillId="6" borderId="26" xfId="4" applyNumberFormat="1"/>
    <xf numFmtId="166" fontId="1" fillId="7" borderId="26" xfId="5" applyNumberFormat="1" applyBorder="1"/>
    <xf numFmtId="4" fontId="8" fillId="6" borderId="26" xfId="4" applyNumberFormat="1"/>
    <xf numFmtId="167" fontId="1" fillId="7" borderId="26" xfId="5" applyNumberFormat="1" applyBorder="1" applyAlignment="1">
      <alignment wrapText="1"/>
    </xf>
    <xf numFmtId="167" fontId="1" fillId="7" borderId="26" xfId="5" applyNumberFormat="1" applyBorder="1"/>
    <xf numFmtId="0" fontId="10" fillId="6" borderId="26" xfId="4" applyFont="1"/>
    <xf numFmtId="4" fontId="1" fillId="7" borderId="26" xfId="5" applyNumberFormat="1" applyBorder="1"/>
    <xf numFmtId="4" fontId="10" fillId="6" borderId="26" xfId="4" applyNumberFormat="1" applyFont="1"/>
    <xf numFmtId="168" fontId="8" fillId="6" borderId="26" xfId="4" applyNumberFormat="1"/>
    <xf numFmtId="169" fontId="1" fillId="7" borderId="26" xfId="5" applyNumberFormat="1" applyBorder="1"/>
    <xf numFmtId="170" fontId="8" fillId="6" borderId="26" xfId="4" applyNumberFormat="1"/>
    <xf numFmtId="0" fontId="8" fillId="6" borderId="26" xfId="4" applyNumberFormat="1"/>
    <xf numFmtId="12" fontId="8" fillId="6" borderId="26" xfId="4" applyNumberFormat="1"/>
    <xf numFmtId="12" fontId="1" fillId="7" borderId="26" xfId="5" applyNumberFormat="1" applyBorder="1"/>
    <xf numFmtId="12" fontId="10" fillId="6" borderId="26" xfId="4" applyNumberFormat="1" applyFont="1"/>
    <xf numFmtId="13" fontId="8" fillId="6" borderId="26" xfId="4" applyNumberFormat="1"/>
    <xf numFmtId="13" fontId="1" fillId="7" borderId="26" xfId="5" applyNumberFormat="1" applyBorder="1"/>
    <xf numFmtId="13" fontId="10" fillId="6" borderId="26" xfId="4" applyNumberFormat="1" applyFont="1"/>
    <xf numFmtId="0" fontId="1" fillId="7" borderId="4" xfId="5" applyBorder="1"/>
    <xf numFmtId="49" fontId="0" fillId="0" borderId="4" xfId="0" applyNumberFormat="1" applyBorder="1"/>
    <xf numFmtId="1" fontId="0" fillId="0" borderId="4" xfId="0" applyNumberFormat="1" applyBorder="1"/>
    <xf numFmtId="171" fontId="0" fillId="0" borderId="4" xfId="0" applyNumberFormat="1" applyBorder="1"/>
    <xf numFmtId="172" fontId="0" fillId="0" borderId="4" xfId="0" applyNumberFormat="1" applyBorder="1"/>
    <xf numFmtId="2" fontId="0" fillId="0" borderId="4" xfId="0" applyNumberFormat="1" applyBorder="1"/>
    <xf numFmtId="173" fontId="0" fillId="0" borderId="4" xfId="0" applyNumberFormat="1" applyBorder="1"/>
    <xf numFmtId="174" fontId="0" fillId="0" borderId="4" xfId="0" applyNumberFormat="1" applyBorder="1"/>
    <xf numFmtId="0" fontId="9" fillId="8" borderId="27" xfId="1" applyFont="1" applyFill="1" applyBorder="1"/>
    <xf numFmtId="0" fontId="9" fillId="8" borderId="27" xfId="1" applyFont="1" applyFill="1" applyBorder="1" applyAlignment="1">
      <alignment wrapText="1"/>
    </xf>
    <xf numFmtId="0" fontId="9" fillId="8" borderId="0" xfId="1" applyFont="1" applyFill="1"/>
    <xf numFmtId="0" fontId="9" fillId="8" borderId="0" xfId="1" applyFont="1" applyFill="1" applyAlignment="1">
      <alignment wrapText="1"/>
    </xf>
    <xf numFmtId="0" fontId="8" fillId="8" borderId="26" xfId="4" applyFill="1"/>
    <xf numFmtId="14" fontId="8" fillId="8" borderId="26" xfId="4" applyNumberFormat="1" applyFill="1"/>
    <xf numFmtId="0" fontId="1" fillId="8" borderId="26" xfId="5" applyFill="1" applyBorder="1"/>
    <xf numFmtId="14" fontId="1" fillId="8" borderId="26" xfId="5" applyNumberFormat="1" applyFill="1" applyBorder="1"/>
    <xf numFmtId="0" fontId="11" fillId="0" borderId="20" xfId="0" applyFont="1" applyBorder="1" applyAlignment="1">
      <alignment horizontal="center"/>
    </xf>
    <xf numFmtId="10" fontId="0" fillId="0" borderId="0" xfId="0" applyNumberFormat="1"/>
    <xf numFmtId="10" fontId="0" fillId="0" borderId="11" xfId="0" applyNumberFormat="1" applyBorder="1"/>
    <xf numFmtId="0" fontId="0" fillId="0" borderId="0" xfId="0" applyAlignment="1">
      <alignment wrapText="1"/>
    </xf>
    <xf numFmtId="0" fontId="2" fillId="0" borderId="0" xfId="0" applyFont="1"/>
    <xf numFmtId="0" fontId="9" fillId="8" borderId="0" xfId="1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3" xfId="0" applyBorder="1"/>
    <xf numFmtId="0" fontId="0" fillId="0" borderId="28" xfId="0" applyBorder="1" applyAlignment="1">
      <alignment wrapText="1"/>
    </xf>
    <xf numFmtId="0" fontId="3" fillId="9" borderId="4" xfId="0" applyFont="1" applyFill="1" applyBorder="1"/>
    <xf numFmtId="0" fontId="3" fillId="9" borderId="4" xfId="0" applyFont="1" applyFill="1" applyBorder="1" applyAlignment="1">
      <alignment horizontal="center" wrapText="1"/>
    </xf>
    <xf numFmtId="0" fontId="3" fillId="9" borderId="3" xfId="0" applyFont="1" applyFill="1" applyBorder="1"/>
    <xf numFmtId="0" fontId="0" fillId="0" borderId="4" xfId="0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0" xfId="0" applyAlignment="1">
      <alignment wrapText="1"/>
    </xf>
  </cellXfs>
  <cellStyles count="6">
    <cellStyle name="40% - Accent1" xfId="5" builtinId="31"/>
    <cellStyle name="60% - Accent3" xfId="3" builtinId="40"/>
    <cellStyle name="Accent1" xfId="1" builtinId="29"/>
    <cellStyle name="Normal" xfId="0" builtinId="0"/>
    <cellStyle name="Output" xfId="4" builtinId="21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417535645882102"/>
          <c:y val="5.59055118110236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65354330708662"/>
          <c:y val="0.36679921259842518"/>
          <c:w val="0.68001639775381717"/>
          <c:h val="0.4461719889180519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CEC</c:v>
              </c:pt>
              <c:pt idx="1">
                <c:v>MEC</c:v>
              </c:pt>
              <c:pt idx="2">
                <c:v>MPC</c:v>
              </c:pt>
            </c:strLit>
          </c:cat>
          <c:val>
            <c:numLit>
              <c:formatCode>General</c:formatCode>
              <c:ptCount val="3"/>
              <c:pt idx="0">
                <c:v>379</c:v>
              </c:pt>
              <c:pt idx="1">
                <c:v>430</c:v>
              </c:pt>
              <c:pt idx="2">
                <c:v>380</c:v>
              </c:pt>
            </c:numLit>
          </c:val>
          <c:extLst>
            <c:ext xmlns:c16="http://schemas.microsoft.com/office/drawing/2014/chart" uri="{C3380CC4-5D6E-409C-BE32-E72D297353CC}">
              <c16:uniqueId val="{00000000-7305-4F3D-940B-1D8FF4E4C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119120"/>
        <c:axId val="213115280"/>
      </c:barChart>
      <c:catAx>
        <c:axId val="21311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5280"/>
        <c:crosses val="autoZero"/>
        <c:auto val="1"/>
        <c:lblAlgn val="ctr"/>
        <c:lblOffset val="100"/>
        <c:noMultiLvlLbl val="0"/>
      </c:catAx>
      <c:valAx>
        <c:axId val="2131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Student name by Gender</a:t>
            </a:r>
          </a:p>
        </c:rich>
      </c:tx>
      <c:layout>
        <c:manualLayout>
          <c:xMode val="edge"/>
          <c:yMode val="edge"/>
          <c:x val="0.13298584352487855"/>
          <c:y val="1.209340211783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89964818227511"/>
          <c:y val="0.28142740778092395"/>
          <c:w val="0.8751607611548556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11</c:v>
              </c:pt>
              <c:pt idx="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59A8-4D81-903B-EEC1581A0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3128720"/>
        <c:axId val="213130160"/>
      </c:barChart>
      <c:catAx>
        <c:axId val="21312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0160"/>
        <c:crosses val="autoZero"/>
        <c:auto val="1"/>
        <c:lblAlgn val="ctr"/>
        <c:lblOffset val="100"/>
        <c:noMultiLvlLbl val="0"/>
      </c:catAx>
      <c:valAx>
        <c:axId val="213130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8720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  <a:ln>
          <a:solidFill>
            <a:schemeClr val="bg2">
              <a:lumMod val="2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tx1">
            <a:lumMod val="95000"/>
            <a:lumOff val="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06544746422823"/>
          <c:y val="0.32368159203980101"/>
          <c:w val="0.66610066886800445"/>
          <c:h val="0.15204136796333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Sheet15!$C$3</c:f>
              <c:strCache>
                <c:ptCount val="1"/>
                <c:pt idx="0">
                  <c:v>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Sheet15!$A$4:$A$20</c:f>
              <c:strCache>
                <c:ptCount val="17"/>
                <c:pt idx="0">
                  <c:v>Bhavani</c:v>
                </c:pt>
                <c:pt idx="1">
                  <c:v>Sowmya</c:v>
                </c:pt>
                <c:pt idx="2">
                  <c:v>Mishra</c:v>
                </c:pt>
                <c:pt idx="3">
                  <c:v>Arbaz Hussian</c:v>
                </c:pt>
                <c:pt idx="4">
                  <c:v>Fatima</c:v>
                </c:pt>
                <c:pt idx="5">
                  <c:v>Ashis yadav</c:v>
                </c:pt>
                <c:pt idx="6">
                  <c:v>Hemanth</c:v>
                </c:pt>
                <c:pt idx="7">
                  <c:v>Kareem</c:v>
                </c:pt>
                <c:pt idx="8">
                  <c:v>Raviteja</c:v>
                </c:pt>
                <c:pt idx="9">
                  <c:v>Hudha</c:v>
                </c:pt>
                <c:pt idx="10">
                  <c:v>Hema</c:v>
                </c:pt>
                <c:pt idx="11">
                  <c:v>Simha</c:v>
                </c:pt>
                <c:pt idx="12">
                  <c:v>Khushiraa</c:v>
                </c:pt>
                <c:pt idx="13">
                  <c:v>Prerana</c:v>
                </c:pt>
                <c:pt idx="14">
                  <c:v>Uma</c:v>
                </c:pt>
                <c:pt idx="15">
                  <c:v>Girija</c:v>
                </c:pt>
                <c:pt idx="16">
                  <c:v>Latha</c:v>
                </c:pt>
              </c:strCache>
            </c:strRef>
          </c:cat>
          <c:val>
            <c:numRef>
              <c:f>Sheet15!$C$4:$C$20</c:f>
              <c:numCache>
                <c:formatCode>General</c:formatCode>
                <c:ptCount val="17"/>
                <c:pt idx="0">
                  <c:v>45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57</c:v>
                </c:pt>
                <c:pt idx="5">
                  <c:v>48</c:v>
                </c:pt>
                <c:pt idx="6">
                  <c:v>58</c:v>
                </c:pt>
                <c:pt idx="7">
                  <c:v>66</c:v>
                </c:pt>
                <c:pt idx="8">
                  <c:v>60</c:v>
                </c:pt>
                <c:pt idx="9">
                  <c:v>61</c:v>
                </c:pt>
                <c:pt idx="10">
                  <c:v>85</c:v>
                </c:pt>
                <c:pt idx="11">
                  <c:v>90</c:v>
                </c:pt>
                <c:pt idx="12">
                  <c:v>80</c:v>
                </c:pt>
                <c:pt idx="13">
                  <c:v>79</c:v>
                </c:pt>
                <c:pt idx="14">
                  <c:v>78</c:v>
                </c:pt>
                <c:pt idx="15">
                  <c:v>82</c:v>
                </c:pt>
                <c:pt idx="1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5-4708-9A5A-80B855DC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3185968"/>
        <c:axId val="1433174928"/>
      </c:barChart>
      <c:catAx>
        <c:axId val="14331859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74928"/>
        <c:crosses val="autoZero"/>
        <c:auto val="1"/>
        <c:lblAlgn val="ctr"/>
        <c:lblOffset val="100"/>
        <c:noMultiLvlLbl val="0"/>
      </c:catAx>
      <c:valAx>
        <c:axId val="14331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8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Student name by Integer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34723300432517"/>
          <c:y val="0.43772511848341233"/>
          <c:w val="0.82868093600975934"/>
          <c:h val="0.3897794529238347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3"/>
              <c:pt idx="0">
                <c:v>CEC</c:v>
              </c:pt>
              <c:pt idx="1">
                <c:v>MEC</c:v>
              </c:pt>
              <c:pt idx="2">
                <c:v>MPC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6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E2C1-4F70-8B28-591CAE28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3133520"/>
        <c:axId val="213137840"/>
      </c:barChart>
      <c:catAx>
        <c:axId val="21313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7840"/>
        <c:crosses val="autoZero"/>
        <c:auto val="1"/>
        <c:lblAlgn val="ctr"/>
        <c:lblOffset val="100"/>
        <c:noMultiLvlLbl val="0"/>
      </c:catAx>
      <c:valAx>
        <c:axId val="213137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3520"/>
        <c:crosses val="autoZero"/>
        <c:crossBetween val="between"/>
      </c:valAx>
      <c:spPr>
        <a:solidFill>
          <a:schemeClr val="bg2">
            <a:lumMod val="10000"/>
          </a:schemeClr>
        </a:solidFill>
        <a:ln>
          <a:solidFill>
            <a:schemeClr val="bg2">
              <a:lumMod val="2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6350</xdr:rowOff>
    </xdr:from>
    <xdr:to>
      <xdr:col>2</xdr:col>
      <xdr:colOff>19050</xdr:colOff>
      <xdr:row>4</xdr:row>
      <xdr:rowOff>152400</xdr:rowOff>
    </xdr:to>
    <xdr:sp macro="" textlink="">
      <xdr:nvSpPr>
        <xdr:cNvPr id="4097" name="AutoShape 1" descr="Image result for Netflix Logo Transparent">
          <a:extLst>
            <a:ext uri="{FF2B5EF4-FFF2-40B4-BE49-F238E27FC236}">
              <a16:creationId xmlns:a16="http://schemas.microsoft.com/office/drawing/2014/main" id="{CEDF2649-3CF8-87E6-92DB-2D217298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8800"/>
          <a:ext cx="6286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120650</xdr:rowOff>
    </xdr:to>
    <xdr:sp macro="" textlink="">
      <xdr:nvSpPr>
        <xdr:cNvPr id="4098" name="AutoShape 2" descr="Image result for Netflix Logo Transparent">
          <a:extLst>
            <a:ext uri="{FF2B5EF4-FFF2-40B4-BE49-F238E27FC236}">
              <a16:creationId xmlns:a16="http://schemas.microsoft.com/office/drawing/2014/main" id="{61571D5D-9E05-6D51-9D55-590457BB4C06}"/>
            </a:ext>
          </a:extLst>
        </xdr:cNvPr>
        <xdr:cNvSpPr>
          <a:spLocks noChangeAspect="1" noChangeArrowheads="1"/>
        </xdr:cNvSpPr>
      </xdr:nvSpPr>
      <xdr:spPr bwMode="auto">
        <a:xfrm>
          <a:off x="189865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62796</xdr:colOff>
      <xdr:row>4</xdr:row>
      <xdr:rowOff>24928</xdr:rowOff>
    </xdr:from>
    <xdr:to>
      <xdr:col>1</xdr:col>
      <xdr:colOff>560918</xdr:colOff>
      <xdr:row>4</xdr:row>
      <xdr:rowOff>146050</xdr:rowOff>
    </xdr:to>
    <xdr:pic>
      <xdr:nvPicPr>
        <xdr:cNvPr id="3" name="Picture 2" descr="Netflix | Logopedia | FANDOM powered by Wikia">
          <a:extLst>
            <a:ext uri="{FF2B5EF4-FFF2-40B4-BE49-F238E27FC236}">
              <a16:creationId xmlns:a16="http://schemas.microsoft.com/office/drawing/2014/main" id="{5EA535AC-34F9-2332-0A4E-0AF7365E2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8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96" y="577378"/>
          <a:ext cx="498122" cy="121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25401</xdr:colOff>
      <xdr:row>5</xdr:row>
      <xdr:rowOff>12700</xdr:rowOff>
    </xdr:from>
    <xdr:to>
      <xdr:col>1</xdr:col>
      <xdr:colOff>565991</xdr:colOff>
      <xdr:row>5</xdr:row>
      <xdr:rowOff>158750</xdr:rowOff>
    </xdr:to>
    <xdr:pic>
      <xdr:nvPicPr>
        <xdr:cNvPr id="4" name="Picture 3" descr="100+ Amazon LOGO - Latest Amazon Logo, Icon, GIF, Transparent PNG">
          <a:extLst>
            <a:ext uri="{FF2B5EF4-FFF2-40B4-BE49-F238E27FC236}">
              <a16:creationId xmlns:a16="http://schemas.microsoft.com/office/drawing/2014/main" id="{8E4B66AB-86E5-E06A-23EE-650604B5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1" y="749300"/>
          <a:ext cx="54059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120650</xdr:rowOff>
    </xdr:to>
    <xdr:sp macro="" textlink="">
      <xdr:nvSpPr>
        <xdr:cNvPr id="4109" name="AutoShape 13" descr="Google Logo, symbol, meaning, history, PNG, brand">
          <a:extLst>
            <a:ext uri="{FF2B5EF4-FFF2-40B4-BE49-F238E27FC236}">
              <a16:creationId xmlns:a16="http://schemas.microsoft.com/office/drawing/2014/main" id="{C186D4BD-49BB-0830-4D7E-2F8E5C7F4B8B}"/>
            </a:ext>
          </a:extLst>
        </xdr:cNvPr>
        <xdr:cNvSpPr>
          <a:spLocks noChangeAspect="1" noChangeArrowheads="1"/>
        </xdr:cNvSpPr>
      </xdr:nvSpPr>
      <xdr:spPr bwMode="auto">
        <a:xfrm>
          <a:off x="372745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25400</xdr:colOff>
      <xdr:row>3</xdr:row>
      <xdr:rowOff>25400</xdr:rowOff>
    </xdr:from>
    <xdr:to>
      <xdr:col>2</xdr:col>
      <xdr:colOff>18483</xdr:colOff>
      <xdr:row>3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44796D-4FFE-A99B-DA09-693B9D78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946150"/>
          <a:ext cx="602683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" name="AutoShape 13" descr="Google Logo, symbol, meaning, history, PNG, brand">
          <a:extLst>
            <a:ext uri="{FF2B5EF4-FFF2-40B4-BE49-F238E27FC236}">
              <a16:creationId xmlns:a16="http://schemas.microsoft.com/office/drawing/2014/main" id="{90843BB2-C44C-4F1C-8AF4-38AABD0B0215}"/>
            </a:ext>
          </a:extLst>
        </xdr:cNvPr>
        <xdr:cNvSpPr>
          <a:spLocks noChangeAspect="1" noChangeArrowheads="1"/>
        </xdr:cNvSpPr>
      </xdr:nvSpPr>
      <xdr:spPr bwMode="auto">
        <a:xfrm>
          <a:off x="372745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3</xdr:row>
      <xdr:rowOff>38100</xdr:rowOff>
    </xdr:from>
    <xdr:to>
      <xdr:col>19</xdr:col>
      <xdr:colOff>146050</xdr:colOff>
      <xdr:row>26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F680CD-784B-2F10-B11B-4FC30E580465}"/>
            </a:ext>
          </a:extLst>
        </xdr:cNvPr>
        <xdr:cNvSpPr/>
      </xdr:nvSpPr>
      <xdr:spPr>
        <a:xfrm>
          <a:off x="177800" y="590550"/>
          <a:ext cx="11550650" cy="42164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</a:p>
      </xdr:txBody>
    </xdr:sp>
    <xdr:clientData/>
  </xdr:twoCellAnchor>
  <xdr:twoCellAnchor>
    <xdr:from>
      <xdr:col>4</xdr:col>
      <xdr:colOff>533400</xdr:colOff>
      <xdr:row>6</xdr:row>
      <xdr:rowOff>31750</xdr:rowOff>
    </xdr:from>
    <xdr:to>
      <xdr:col>8</xdr:col>
      <xdr:colOff>571500</xdr:colOff>
      <xdr:row>14</xdr:row>
      <xdr:rowOff>31750</xdr:rowOff>
    </xdr:to>
    <xdr:sp macro="" textlink="">
      <xdr:nvSpPr>
        <xdr:cNvPr id="8" name="Rectangle: Diagonal Corners Rounded 7">
          <a:extLst>
            <a:ext uri="{FF2B5EF4-FFF2-40B4-BE49-F238E27FC236}">
              <a16:creationId xmlns:a16="http://schemas.microsoft.com/office/drawing/2014/main" id="{B907093E-C3BC-2E1E-9161-1F040516AC2A}"/>
            </a:ext>
          </a:extLst>
        </xdr:cNvPr>
        <xdr:cNvSpPr/>
      </xdr:nvSpPr>
      <xdr:spPr>
        <a:xfrm>
          <a:off x="2971800" y="1136650"/>
          <a:ext cx="2476500" cy="1473200"/>
        </a:xfrm>
        <a:prstGeom prst="round2Diag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215900</xdr:colOff>
      <xdr:row>6</xdr:row>
      <xdr:rowOff>57150</xdr:rowOff>
    </xdr:from>
    <xdr:to>
      <xdr:col>13</xdr:col>
      <xdr:colOff>254000</xdr:colOff>
      <xdr:row>14</xdr:row>
      <xdr:rowOff>57150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03303D7F-7DA6-4FC8-8770-495CE8D89BD0}"/>
            </a:ext>
          </a:extLst>
        </xdr:cNvPr>
        <xdr:cNvSpPr/>
      </xdr:nvSpPr>
      <xdr:spPr>
        <a:xfrm>
          <a:off x="5702300" y="1162050"/>
          <a:ext cx="2476500" cy="1473200"/>
        </a:xfrm>
        <a:prstGeom prst="round2Diag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425450</xdr:colOff>
      <xdr:row>15</xdr:row>
      <xdr:rowOff>50800</xdr:rowOff>
    </xdr:from>
    <xdr:to>
      <xdr:col>8</xdr:col>
      <xdr:colOff>463550</xdr:colOff>
      <xdr:row>23</xdr:row>
      <xdr:rowOff>50800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A1AE33EF-ABFF-4030-AE4D-30D3603B2D26}"/>
            </a:ext>
          </a:extLst>
        </xdr:cNvPr>
        <xdr:cNvSpPr/>
      </xdr:nvSpPr>
      <xdr:spPr>
        <a:xfrm>
          <a:off x="2863850" y="2813050"/>
          <a:ext cx="2476500" cy="1473200"/>
        </a:xfrm>
        <a:prstGeom prst="round2Diag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323850</xdr:colOff>
      <xdr:row>15</xdr:row>
      <xdr:rowOff>50800</xdr:rowOff>
    </xdr:from>
    <xdr:to>
      <xdr:col>13</xdr:col>
      <xdr:colOff>361950</xdr:colOff>
      <xdr:row>23</xdr:row>
      <xdr:rowOff>50800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C9DD13DB-01AB-4C3A-8267-C77CC82EEF98}"/>
            </a:ext>
          </a:extLst>
        </xdr:cNvPr>
        <xdr:cNvSpPr/>
      </xdr:nvSpPr>
      <xdr:spPr>
        <a:xfrm>
          <a:off x="5810250" y="2813050"/>
          <a:ext cx="2476500" cy="1473200"/>
        </a:xfrm>
        <a:prstGeom prst="round2Diag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596900</xdr:colOff>
      <xdr:row>6</xdr:row>
      <xdr:rowOff>171450</xdr:rowOff>
    </xdr:from>
    <xdr:to>
      <xdr:col>8</xdr:col>
      <xdr:colOff>508000</xdr:colOff>
      <xdr:row>13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E1296C-97E7-4630-AC7A-2BF2AAA6A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6</xdr:row>
      <xdr:rowOff>107950</xdr:rowOff>
    </xdr:from>
    <xdr:to>
      <xdr:col>13</xdr:col>
      <xdr:colOff>241300</xdr:colOff>
      <xdr:row>13</xdr:row>
      <xdr:rowOff>107950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BE1292A-4871-45C2-BBC3-7D465916A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469900</xdr:colOff>
      <xdr:row>15</xdr:row>
      <xdr:rowOff>171450</xdr:rowOff>
    </xdr:from>
    <xdr:to>
      <xdr:col>8</xdr:col>
      <xdr:colOff>393700</xdr:colOff>
      <xdr:row>22</xdr:row>
      <xdr:rowOff>158750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F43C215-5F71-4AE5-AD2B-D321058A3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431800</xdr:colOff>
      <xdr:row>15</xdr:row>
      <xdr:rowOff>114300</xdr:rowOff>
    </xdr:from>
    <xdr:to>
      <xdr:col>13</xdr:col>
      <xdr:colOff>247650</xdr:colOff>
      <xdr:row>22</xdr:row>
      <xdr:rowOff>165100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12430F9-25BB-444D-BCF6-04FEA8D56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463551</xdr:colOff>
      <xdr:row>20</xdr:row>
      <xdr:rowOff>37442</xdr:rowOff>
    </xdr:from>
    <xdr:to>
      <xdr:col>7</xdr:col>
      <xdr:colOff>279401</xdr:colOff>
      <xdr:row>24</xdr:row>
      <xdr:rowOff>44449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E4E16-6BEA-9187-69A6-5B172E0E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751" y="3904592"/>
          <a:ext cx="3105150" cy="743607"/>
        </a:xfrm>
        <a:prstGeom prst="rect">
          <a:avLst/>
        </a:prstGeom>
      </xdr:spPr>
    </xdr:pic>
    <xdr:clientData/>
  </xdr:twoCellAnchor>
  <xdr:twoCellAnchor>
    <xdr:from>
      <xdr:col>5</xdr:col>
      <xdr:colOff>203200</xdr:colOff>
      <xdr:row>19</xdr:row>
      <xdr:rowOff>6350</xdr:rowOff>
    </xdr:from>
    <xdr:to>
      <xdr:col>5</xdr:col>
      <xdr:colOff>406400</xdr:colOff>
      <xdr:row>20</xdr:row>
      <xdr:rowOff>19050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B594C81C-1BAF-613E-C969-EF7BBF237E12}"/>
            </a:ext>
          </a:extLst>
        </xdr:cNvPr>
        <xdr:cNvSpPr/>
      </xdr:nvSpPr>
      <xdr:spPr>
        <a:xfrm>
          <a:off x="3251200" y="3689350"/>
          <a:ext cx="203200" cy="1968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19049</xdr:colOff>
      <xdr:row>2</xdr:row>
      <xdr:rowOff>103502</xdr:rowOff>
    </xdr:from>
    <xdr:to>
      <xdr:col>10</xdr:col>
      <xdr:colOff>605134</xdr:colOff>
      <xdr:row>2</xdr:row>
      <xdr:rowOff>882650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AD7B2A-6BD4-4147-4DA0-D1D801556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6349" y="471802"/>
          <a:ext cx="586085" cy="779148"/>
        </a:xfrm>
        <a:prstGeom prst="rect">
          <a:avLst/>
        </a:prstGeom>
      </xdr:spPr>
    </xdr:pic>
    <xdr:clientData/>
  </xdr:twoCellAnchor>
  <xdr:twoCellAnchor>
    <xdr:from>
      <xdr:col>8</xdr:col>
      <xdr:colOff>212724</xdr:colOff>
      <xdr:row>2</xdr:row>
      <xdr:rowOff>339724</xdr:rowOff>
    </xdr:from>
    <xdr:to>
      <xdr:col>8</xdr:col>
      <xdr:colOff>463549</xdr:colOff>
      <xdr:row>2</xdr:row>
      <xdr:rowOff>596899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F39206F8-AFFF-4EBC-BD93-BBD1959FA03A}"/>
            </a:ext>
          </a:extLst>
        </xdr:cNvPr>
        <xdr:cNvSpPr/>
      </xdr:nvSpPr>
      <xdr:spPr>
        <a:xfrm rot="16200000">
          <a:off x="5327649" y="711199"/>
          <a:ext cx="257175" cy="2508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8</xdr:row>
      <xdr:rowOff>152400</xdr:rowOff>
    </xdr:from>
    <xdr:to>
      <xdr:col>11</xdr:col>
      <xdr:colOff>603250</xdr:colOff>
      <xdr:row>10</xdr:row>
      <xdr:rowOff>546100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337300B-B61F-EF03-7EB2-17F462FF9520}"/>
            </a:ext>
          </a:extLst>
        </xdr:cNvPr>
        <xdr:cNvCxnSpPr/>
      </xdr:nvCxnSpPr>
      <xdr:spPr>
        <a:xfrm flipH="1">
          <a:off x="4584700" y="2730500"/>
          <a:ext cx="296545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298451</xdr:colOff>
      <xdr:row>1</xdr:row>
      <xdr:rowOff>12919</xdr:rowOff>
    </xdr:from>
    <xdr:to>
      <xdr:col>11</xdr:col>
      <xdr:colOff>342900</xdr:colOff>
      <xdr:row>14</xdr:row>
      <xdr:rowOff>127771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0CB78-A5D1-2D13-EF03-E32BCA63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2701" y="197069"/>
          <a:ext cx="2482849" cy="2508802"/>
        </a:xfrm>
        <a:prstGeom prst="rect">
          <a:avLst/>
        </a:prstGeom>
      </xdr:spPr>
    </xdr:pic>
    <xdr:clientData/>
  </xdr:twoCellAnchor>
  <xdr:twoCellAnchor>
    <xdr:from>
      <xdr:col>11</xdr:col>
      <xdr:colOff>361950</xdr:colOff>
      <xdr:row>6</xdr:row>
      <xdr:rowOff>152400</xdr:rowOff>
    </xdr:from>
    <xdr:to>
      <xdr:col>12</xdr:col>
      <xdr:colOff>234950</xdr:colOff>
      <xdr:row>9</xdr:row>
      <xdr:rowOff>88900</xdr:rowOff>
    </xdr:to>
    <xdr:cxnSp macro="">
      <xdr:nvCxnSpPr>
        <xdr:cNvPr id="4" name="Connector: Curved 3">
          <a:extLst>
            <a:ext uri="{FF2B5EF4-FFF2-40B4-BE49-F238E27FC236}">
              <a16:creationId xmlns:a16="http://schemas.microsoft.com/office/drawing/2014/main" id="{26B8631B-8DED-B9B4-D521-DD21D9BA3E3A}"/>
            </a:ext>
          </a:extLst>
        </xdr:cNvPr>
        <xdr:cNvCxnSpPr/>
      </xdr:nvCxnSpPr>
      <xdr:spPr>
        <a:xfrm rot="16200000" flipH="1">
          <a:off x="7591425" y="1260475"/>
          <a:ext cx="488950" cy="48260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19050</xdr:colOff>
      <xdr:row>9</xdr:row>
      <xdr:rowOff>139700</xdr:rowOff>
    </xdr:from>
    <xdr:to>
      <xdr:col>13</xdr:col>
      <xdr:colOff>30</xdr:colOff>
      <xdr:row>13</xdr:row>
      <xdr:rowOff>146088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24AD78-48D4-CF15-525B-342B16412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1300" y="1797050"/>
          <a:ext cx="590580" cy="7429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95.661399884259" createdVersion="8" refreshedVersion="8" minRefreshableVersion="3" recordCount="17" xr:uid="{C0939C7A-7088-45A7-9427-DA6F781C2B09}">
  <cacheSource type="worksheet">
    <worksheetSource ref="A3:G20" sheet="sheet6"/>
  </cacheSource>
  <cacheFields count="7">
    <cacheField name="S.no" numFmtId="0">
      <sharedItems containsSemiMixedTypes="0" containsString="0" containsNumber="1" containsInteger="1" minValue="1" maxValue="17"/>
    </cacheField>
    <cacheField name="Student name" numFmtId="0">
      <sharedItems/>
    </cacheField>
    <cacheField name="Gender" numFmtId="0">
      <sharedItems count="2">
        <s v="Female"/>
        <s v="Male"/>
      </sharedItems>
    </cacheField>
    <cacheField name="Percentage" numFmtId="0">
      <sharedItems containsSemiMixedTypes="0" containsString="0" containsNumber="1" containsInteger="1" minValue="45" maxValue="90"/>
    </cacheField>
    <cacheField name="Integer Group" numFmtId="0">
      <sharedItems count="3">
        <s v="CEC"/>
        <s v="MEC"/>
        <s v="MPC"/>
      </sharedItems>
    </cacheField>
    <cacheField name="Date of Admission" numFmtId="14">
      <sharedItems containsSemiMixedTypes="0" containsNonDate="0" containsDate="1" containsString="0" minDate="2021-06-01T00:00:00" maxDate="2021-07-09T00:00:00"/>
    </cacheField>
    <cacheField name="State" numFmtId="0">
      <sharedItems count="5">
        <s v="Andhra Pradesh"/>
        <s v="Telangana"/>
        <s v="Hyderabad"/>
        <s v="kerala"/>
        <s v="Vijayawa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95.693090277775" createdVersion="8" refreshedVersion="8" minRefreshableVersion="3" recordCount="17" xr:uid="{F14133D2-EEC4-49C2-BA0A-394D99FC3CC0}">
  <cacheSource type="worksheet">
    <worksheetSource ref="A3:E20" sheet="Sheet15"/>
  </cacheSource>
  <cacheFields count="5">
    <cacheField name="Student name" numFmtId="0">
      <sharedItems count="17">
        <s v="Bhavani"/>
        <s v="Sowmya"/>
        <s v="Mishra"/>
        <s v="Arbaz Hussian"/>
        <s v="Fatima"/>
        <s v="Ashis yadav"/>
        <s v="Hemanth"/>
        <s v="Kareem"/>
        <s v="Raviteja"/>
        <s v="Hudha"/>
        <s v="Hema"/>
        <s v="Simha"/>
        <s v="Khushiraa"/>
        <s v="Prerana"/>
        <s v="Uma"/>
        <s v="Girija"/>
        <s v="Latha"/>
      </sharedItems>
    </cacheField>
    <cacheField name="Gender" numFmtId="0">
      <sharedItems/>
    </cacheField>
    <cacheField name="Percentage" numFmtId="0">
      <sharedItems containsSemiMixedTypes="0" containsString="0" containsNumber="1" containsInteger="1" minValue="45" maxValue="90"/>
    </cacheField>
    <cacheField name="Integer Group" numFmtId="0">
      <sharedItems count="3">
        <s v="CEC"/>
        <s v="MEC"/>
        <s v="MPC"/>
      </sharedItems>
    </cacheField>
    <cacheField name="Date of Admission" numFmtId="14">
      <sharedItems containsSemiMixedTypes="0" containsNonDate="0" containsDate="1" containsString="0" minDate="2021-06-01T00:00:00" maxDate="2021-07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s v="Bhavani"/>
    <x v="0"/>
    <n v="45"/>
    <x v="0"/>
    <d v="2021-06-01T00:00:00"/>
    <x v="0"/>
  </r>
  <r>
    <n v="2"/>
    <s v="Sowmya"/>
    <x v="0"/>
    <n v="65"/>
    <x v="1"/>
    <d v="2021-06-02T00:00:00"/>
    <x v="1"/>
  </r>
  <r>
    <n v="3"/>
    <s v="Mishra"/>
    <x v="0"/>
    <n v="75"/>
    <x v="0"/>
    <d v="2021-06-03T00:00:00"/>
    <x v="2"/>
  </r>
  <r>
    <n v="4"/>
    <s v="Arbaz Hussian"/>
    <x v="1"/>
    <n v="85"/>
    <x v="1"/>
    <d v="2021-06-04T00:00:00"/>
    <x v="0"/>
  </r>
  <r>
    <n v="5"/>
    <s v="Fatima"/>
    <x v="0"/>
    <n v="57"/>
    <x v="0"/>
    <d v="2021-06-05T00:00:00"/>
    <x v="3"/>
  </r>
  <r>
    <n v="6"/>
    <s v="Ashis yadav"/>
    <x v="1"/>
    <n v="48"/>
    <x v="0"/>
    <d v="2021-06-06T00:00:00"/>
    <x v="1"/>
  </r>
  <r>
    <n v="7"/>
    <s v="Hemanth"/>
    <x v="1"/>
    <n v="58"/>
    <x v="1"/>
    <d v="2021-06-07T00:00:00"/>
    <x v="0"/>
  </r>
  <r>
    <n v="8"/>
    <s v="Kareem"/>
    <x v="1"/>
    <n v="66"/>
    <x v="2"/>
    <d v="2021-07-01T00:00:00"/>
    <x v="4"/>
  </r>
  <r>
    <n v="9"/>
    <s v="Raviteja"/>
    <x v="1"/>
    <n v="60"/>
    <x v="1"/>
    <d v="2021-07-02T00:00:00"/>
    <x v="0"/>
  </r>
  <r>
    <n v="10"/>
    <s v="Hudha"/>
    <x v="0"/>
    <n v="61"/>
    <x v="2"/>
    <d v="2021-07-03T00:00:00"/>
    <x v="4"/>
  </r>
  <r>
    <n v="11"/>
    <s v="Hema"/>
    <x v="0"/>
    <n v="85"/>
    <x v="2"/>
    <d v="2021-07-04T00:00:00"/>
    <x v="3"/>
  </r>
  <r>
    <n v="12"/>
    <s v="Simha"/>
    <x v="1"/>
    <n v="90"/>
    <x v="2"/>
    <d v="2021-07-05T00:00:00"/>
    <x v="2"/>
  </r>
  <r>
    <n v="13"/>
    <s v="Khushiraa"/>
    <x v="0"/>
    <n v="80"/>
    <x v="1"/>
    <d v="2021-07-06T00:00:00"/>
    <x v="1"/>
  </r>
  <r>
    <n v="14"/>
    <s v="Prerana"/>
    <x v="0"/>
    <n v="79"/>
    <x v="0"/>
    <d v="2021-07-07T00:00:00"/>
    <x v="4"/>
  </r>
  <r>
    <n v="15"/>
    <s v="Uma"/>
    <x v="0"/>
    <n v="78"/>
    <x v="2"/>
    <d v="2021-06-08T00:00:00"/>
    <x v="2"/>
  </r>
  <r>
    <n v="16"/>
    <s v="Girija"/>
    <x v="0"/>
    <n v="82"/>
    <x v="1"/>
    <d v="2021-07-08T00:00:00"/>
    <x v="1"/>
  </r>
  <r>
    <n v="17"/>
    <s v="Latha"/>
    <x v="0"/>
    <n v="75"/>
    <x v="0"/>
    <d v="2021-06-09T00:00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Female"/>
    <n v="45"/>
    <x v="0"/>
    <d v="2021-06-01T00:00:00"/>
  </r>
  <r>
    <x v="1"/>
    <s v="Female"/>
    <n v="65"/>
    <x v="1"/>
    <d v="2021-06-02T00:00:00"/>
  </r>
  <r>
    <x v="2"/>
    <s v="Female"/>
    <n v="75"/>
    <x v="0"/>
    <d v="2021-06-03T00:00:00"/>
  </r>
  <r>
    <x v="3"/>
    <s v="Male"/>
    <n v="85"/>
    <x v="1"/>
    <d v="2021-06-04T00:00:00"/>
  </r>
  <r>
    <x v="4"/>
    <s v="Female"/>
    <n v="57"/>
    <x v="0"/>
    <d v="2021-06-05T00:00:00"/>
  </r>
  <r>
    <x v="5"/>
    <s v="Male"/>
    <n v="48"/>
    <x v="0"/>
    <d v="2021-06-06T00:00:00"/>
  </r>
  <r>
    <x v="6"/>
    <s v="Male"/>
    <n v="58"/>
    <x v="1"/>
    <d v="2021-06-07T00:00:00"/>
  </r>
  <r>
    <x v="7"/>
    <s v="Male"/>
    <n v="66"/>
    <x v="2"/>
    <d v="2021-07-01T00:00:00"/>
  </r>
  <r>
    <x v="8"/>
    <s v="Male"/>
    <n v="60"/>
    <x v="1"/>
    <d v="2021-07-02T00:00:00"/>
  </r>
  <r>
    <x v="9"/>
    <s v="Female"/>
    <n v="61"/>
    <x v="2"/>
    <d v="2021-07-03T00:00:00"/>
  </r>
  <r>
    <x v="10"/>
    <s v="Female"/>
    <n v="85"/>
    <x v="2"/>
    <d v="2021-07-04T00:00:00"/>
  </r>
  <r>
    <x v="11"/>
    <s v="Male"/>
    <n v="90"/>
    <x v="2"/>
    <d v="2021-07-05T00:00:00"/>
  </r>
  <r>
    <x v="12"/>
    <s v="Female"/>
    <n v="80"/>
    <x v="1"/>
    <d v="2021-07-06T00:00:00"/>
  </r>
  <r>
    <x v="13"/>
    <s v="Female"/>
    <n v="79"/>
    <x v="0"/>
    <d v="2021-07-07T00:00:00"/>
  </r>
  <r>
    <x v="14"/>
    <s v="Female"/>
    <n v="78"/>
    <x v="2"/>
    <d v="2021-06-08T00:00:00"/>
  </r>
  <r>
    <x v="15"/>
    <s v="Female"/>
    <n v="82"/>
    <x v="1"/>
    <d v="2021-07-08T00:00:00"/>
  </r>
  <r>
    <x v="16"/>
    <s v="Female"/>
    <n v="75"/>
    <x v="0"/>
    <d v="2021-06-0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61B18-14A7-4655-B89E-77B1E5874E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8" firstHeaderRow="1" firstDataRow="2" firstDataCol="1"/>
  <pivotFields count="7"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2">
    <field x="4"/>
    <field x="6"/>
  </rowFields>
  <rowItems count="1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3"/>
    </i>
    <i>
      <x v="2"/>
    </i>
    <i r="1">
      <x v="1"/>
    </i>
    <i r="1">
      <x v="2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ercentag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E03E1-ABB8-4268-BCC6-8622EE44DB3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 rowPageCount="1" colPageCount="1"/>
  <pivotFields count="5">
    <pivotField axis="axisPage" showAll="0">
      <items count="18">
        <item x="3"/>
        <item x="5"/>
        <item x="0"/>
        <item x="4"/>
        <item x="15"/>
        <item x="10"/>
        <item x="6"/>
        <item x="9"/>
        <item x="7"/>
        <item x="12"/>
        <item x="16"/>
        <item x="2"/>
        <item x="13"/>
        <item x="8"/>
        <item x="11"/>
        <item x="1"/>
        <item x="14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numFmtId="1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Percenta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86B0-CAF4-424C-A730-53A27536B52D}">
  <dimension ref="A1:N22"/>
  <sheetViews>
    <sheetView zoomScale="112" zoomScaleNormal="112" workbookViewId="0">
      <selection activeCell="G15" sqref="G15"/>
    </sheetView>
  </sheetViews>
  <sheetFormatPr defaultRowHeight="14.5" x14ac:dyDescent="0.35"/>
  <cols>
    <col min="2" max="2" width="14.26953125" customWidth="1"/>
    <col min="3" max="3" width="11.08984375" customWidth="1"/>
    <col min="7" max="8" width="9.453125" customWidth="1"/>
    <col min="10" max="11" width="11.08984375" customWidth="1"/>
    <col min="12" max="12" width="12.1796875" customWidth="1"/>
    <col min="13" max="13" width="13.453125" customWidth="1"/>
  </cols>
  <sheetData>
    <row r="1" spans="1:14" ht="15" thickBot="1" x14ac:dyDescent="0.4">
      <c r="D1" s="123" t="s">
        <v>94</v>
      </c>
      <c r="E1" s="123"/>
      <c r="F1" s="123"/>
      <c r="G1" s="123"/>
      <c r="H1" s="5"/>
      <c r="I1" s="123" t="s">
        <v>47</v>
      </c>
      <c r="J1" s="123"/>
      <c r="K1" s="5"/>
      <c r="L1" s="123" t="s">
        <v>48</v>
      </c>
      <c r="M1" s="123"/>
      <c r="N1" s="123"/>
    </row>
    <row r="2" spans="1:14" x14ac:dyDescent="0.35">
      <c r="A2" s="37"/>
      <c r="B2" s="38"/>
      <c r="C2" s="38"/>
      <c r="D2" s="125" t="s">
        <v>26</v>
      </c>
      <c r="E2" s="125"/>
      <c r="F2" s="39" t="s">
        <v>21</v>
      </c>
      <c r="G2" s="29" t="s">
        <v>22</v>
      </c>
      <c r="H2" s="4"/>
      <c r="I2" s="124" t="s">
        <v>27</v>
      </c>
      <c r="J2" s="126"/>
      <c r="K2" s="40"/>
      <c r="L2" s="124" t="s">
        <v>32</v>
      </c>
      <c r="M2" s="125"/>
      <c r="N2" s="43"/>
    </row>
    <row r="3" spans="1:14" x14ac:dyDescent="0.35">
      <c r="A3" s="30" t="s">
        <v>0</v>
      </c>
      <c r="B3" s="30" t="s">
        <v>1</v>
      </c>
      <c r="C3" s="30" t="s">
        <v>2</v>
      </c>
      <c r="D3" s="107" t="s">
        <v>13</v>
      </c>
      <c r="E3" s="107"/>
      <c r="F3" s="2" t="str">
        <f>LEFT(B8,6)</f>
        <v>Khushi</v>
      </c>
      <c r="G3" s="11" t="str">
        <f>RIGHT(B9,4)</f>
        <v>rana</v>
      </c>
      <c r="I3" s="114" t="s">
        <v>28</v>
      </c>
      <c r="J3" s="115"/>
      <c r="K3" s="40"/>
      <c r="L3" s="15" t="s">
        <v>33</v>
      </c>
      <c r="N3" s="11"/>
    </row>
    <row r="4" spans="1:14" x14ac:dyDescent="0.35">
      <c r="A4" s="7">
        <v>1</v>
      </c>
      <c r="B4" s="7" t="s">
        <v>3</v>
      </c>
      <c r="C4" s="7">
        <v>87</v>
      </c>
      <c r="D4" s="108">
        <v>254.85</v>
      </c>
      <c r="E4" s="108"/>
      <c r="F4" s="3" t="s">
        <v>23</v>
      </c>
      <c r="G4" s="11"/>
      <c r="I4" s="116">
        <f>DATE(2025,8,5)</f>
        <v>45874</v>
      </c>
      <c r="J4" s="117"/>
      <c r="K4" s="41"/>
      <c r="L4" s="33" t="s">
        <v>34</v>
      </c>
      <c r="M4" s="7" t="s">
        <v>38</v>
      </c>
      <c r="N4" s="34">
        <f>FIND(L4,M4)</f>
        <v>1</v>
      </c>
    </row>
    <row r="5" spans="1:14" x14ac:dyDescent="0.35">
      <c r="A5" s="7">
        <v>2</v>
      </c>
      <c r="B5" s="7" t="s">
        <v>4</v>
      </c>
      <c r="C5" s="7">
        <v>65</v>
      </c>
      <c r="D5" s="109">
        <f>ROUND(D4,0)</f>
        <v>255</v>
      </c>
      <c r="E5" s="110"/>
      <c r="F5" t="s">
        <v>24</v>
      </c>
      <c r="G5" s="11">
        <f>LEN(F5)</f>
        <v>5</v>
      </c>
      <c r="I5" s="127" t="s">
        <v>29</v>
      </c>
      <c r="J5" s="128"/>
      <c r="K5" s="42"/>
      <c r="L5" s="33" t="s">
        <v>35</v>
      </c>
      <c r="M5" s="7" t="s">
        <v>38</v>
      </c>
      <c r="N5" s="34">
        <f t="shared" ref="N5:N8" si="0">FIND(L5,M5)</f>
        <v>2</v>
      </c>
    </row>
    <row r="6" spans="1:14" x14ac:dyDescent="0.35">
      <c r="A6" s="7">
        <v>3</v>
      </c>
      <c r="B6" s="7" t="s">
        <v>5</v>
      </c>
      <c r="C6" s="7">
        <v>45</v>
      </c>
      <c r="D6" s="107" t="s">
        <v>14</v>
      </c>
      <c r="E6" s="107"/>
      <c r="F6" s="2" t="s">
        <v>25</v>
      </c>
      <c r="G6" s="11">
        <f>LEN(F6)</f>
        <v>4</v>
      </c>
      <c r="I6" s="116">
        <f ca="1">EOMONTH(TODAY(),5)</f>
        <v>46053</v>
      </c>
      <c r="J6" s="117"/>
      <c r="K6" s="41"/>
      <c r="L6" s="33" t="s">
        <v>35</v>
      </c>
      <c r="M6" s="7" t="s">
        <v>38</v>
      </c>
      <c r="N6" s="34">
        <f t="shared" si="0"/>
        <v>2</v>
      </c>
    </row>
    <row r="7" spans="1:14" x14ac:dyDescent="0.35">
      <c r="A7" s="7">
        <v>4</v>
      </c>
      <c r="B7" s="7" t="s">
        <v>6</v>
      </c>
      <c r="C7" s="7">
        <v>36</v>
      </c>
      <c r="D7" s="108">
        <f>SQRT(D4)</f>
        <v>15.964022049596398</v>
      </c>
      <c r="E7" s="108"/>
      <c r="F7" s="111" t="s">
        <v>19</v>
      </c>
      <c r="G7" s="115"/>
      <c r="I7" s="114" t="s">
        <v>30</v>
      </c>
      <c r="J7" s="115"/>
      <c r="K7" s="40"/>
      <c r="L7" s="33" t="s">
        <v>36</v>
      </c>
      <c r="M7" s="7" t="s">
        <v>38</v>
      </c>
      <c r="N7" s="34">
        <f t="shared" si="0"/>
        <v>4</v>
      </c>
    </row>
    <row r="8" spans="1:14" x14ac:dyDescent="0.35">
      <c r="A8" s="7">
        <v>5</v>
      </c>
      <c r="B8" s="7" t="s">
        <v>7</v>
      </c>
      <c r="C8" s="7">
        <v>47</v>
      </c>
      <c r="D8" s="108">
        <f>ROUND(SQRT(D4),0)</f>
        <v>16</v>
      </c>
      <c r="E8" s="108"/>
      <c r="F8" s="120">
        <f>MEDIAN(C4:C13)</f>
        <v>52.5</v>
      </c>
      <c r="G8" s="113"/>
      <c r="I8" s="112">
        <f ca="1">NETWORKDAYS(TODAY(),TODAY()+20)</f>
        <v>15</v>
      </c>
      <c r="J8" s="113"/>
      <c r="K8" s="6"/>
      <c r="L8" s="33" t="s">
        <v>37</v>
      </c>
      <c r="M8" s="7" t="s">
        <v>38</v>
      </c>
      <c r="N8" s="34">
        <f t="shared" si="0"/>
        <v>5</v>
      </c>
    </row>
    <row r="9" spans="1:14" x14ac:dyDescent="0.35">
      <c r="A9" s="7">
        <v>6</v>
      </c>
      <c r="B9" s="7" t="s">
        <v>8</v>
      </c>
      <c r="C9" s="7">
        <v>68</v>
      </c>
      <c r="D9" s="107" t="s">
        <v>15</v>
      </c>
      <c r="E9" s="107"/>
      <c r="F9" s="111" t="s">
        <v>20</v>
      </c>
      <c r="G9" s="115"/>
      <c r="I9" s="114" t="s">
        <v>31</v>
      </c>
      <c r="J9" s="115"/>
      <c r="K9" s="40"/>
      <c r="L9" s="15" t="s">
        <v>39</v>
      </c>
      <c r="N9" s="11"/>
    </row>
    <row r="10" spans="1:14" x14ac:dyDescent="0.35">
      <c r="A10" s="7">
        <v>7</v>
      </c>
      <c r="B10" s="7" t="s">
        <v>9</v>
      </c>
      <c r="C10" s="7">
        <v>37</v>
      </c>
      <c r="D10" s="108">
        <f>MIN(C4:C13)</f>
        <v>36</v>
      </c>
      <c r="E10" s="108"/>
      <c r="F10">
        <v>5</v>
      </c>
      <c r="G10" s="11">
        <f>RANK(F10,$F$10:$F$13)</f>
        <v>4</v>
      </c>
      <c r="I10" s="116"/>
      <c r="J10" s="117"/>
      <c r="K10" s="41"/>
      <c r="L10" s="15" t="s">
        <v>40</v>
      </c>
      <c r="M10" s="4" t="s">
        <v>41</v>
      </c>
      <c r="N10" s="11"/>
    </row>
    <row r="11" spans="1:14" ht="15" thickBot="1" x14ac:dyDescent="0.4">
      <c r="A11" s="7">
        <v>8</v>
      </c>
      <c r="B11" s="7" t="s">
        <v>10</v>
      </c>
      <c r="C11" s="7">
        <v>58</v>
      </c>
      <c r="D11" s="107" t="s">
        <v>16</v>
      </c>
      <c r="E11" s="107"/>
      <c r="F11">
        <v>10</v>
      </c>
      <c r="G11" s="11">
        <f t="shared" ref="G11:G13" si="1">RANK(F11,$F$10:$F$13)</f>
        <v>3</v>
      </c>
      <c r="I11" s="118">
        <f ca="1">YEAR(TODAY())</f>
        <v>2025</v>
      </c>
      <c r="J11" s="119"/>
      <c r="K11" s="6"/>
      <c r="L11" s="10" t="s">
        <v>42</v>
      </c>
      <c r="M11" t="str">
        <f>REPLACE(L11,5,4,2018)</f>
        <v>ABC-2018-001</v>
      </c>
      <c r="N11" s="11"/>
    </row>
    <row r="12" spans="1:14" x14ac:dyDescent="0.35">
      <c r="A12" s="7">
        <v>9</v>
      </c>
      <c r="B12" s="7" t="s">
        <v>11</v>
      </c>
      <c r="C12" s="7">
        <v>97</v>
      </c>
      <c r="D12" s="108">
        <f>MAX(C4:C13)</f>
        <v>97</v>
      </c>
      <c r="E12" s="108"/>
      <c r="F12">
        <v>15</v>
      </c>
      <c r="G12" s="11">
        <f t="shared" si="1"/>
        <v>2</v>
      </c>
      <c r="I12" s="108"/>
      <c r="J12" s="108"/>
      <c r="K12" s="6"/>
      <c r="L12" s="10" t="s">
        <v>42</v>
      </c>
      <c r="M12" t="str">
        <f>REPLACE(L12,5,4,2005)</f>
        <v>ABC-2005-001</v>
      </c>
      <c r="N12" s="11"/>
    </row>
    <row r="13" spans="1:14" x14ac:dyDescent="0.35">
      <c r="A13" s="7">
        <v>10</v>
      </c>
      <c r="B13" s="7" t="s">
        <v>12</v>
      </c>
      <c r="C13" s="7">
        <v>46</v>
      </c>
      <c r="D13" s="107" t="s">
        <v>17</v>
      </c>
      <c r="E13" s="107"/>
      <c r="F13">
        <v>20</v>
      </c>
      <c r="G13" s="11">
        <f t="shared" si="1"/>
        <v>1</v>
      </c>
      <c r="I13" s="108"/>
      <c r="J13" s="108"/>
      <c r="K13" s="1"/>
      <c r="L13" s="15" t="s">
        <v>43</v>
      </c>
      <c r="N13" s="11"/>
    </row>
    <row r="14" spans="1:14" x14ac:dyDescent="0.35">
      <c r="A14" s="10"/>
      <c r="D14" s="120">
        <f>SUM(C4:C13)</f>
        <v>586</v>
      </c>
      <c r="E14" s="108"/>
      <c r="G14" s="11"/>
      <c r="L14" s="15" t="s">
        <v>40</v>
      </c>
      <c r="M14" s="4" t="s">
        <v>41</v>
      </c>
      <c r="N14" s="11"/>
    </row>
    <row r="15" spans="1:14" x14ac:dyDescent="0.35">
      <c r="A15" s="10"/>
      <c r="D15" s="111" t="s">
        <v>18</v>
      </c>
      <c r="E15" s="107"/>
      <c r="G15" s="11"/>
      <c r="L15" s="10" t="s">
        <v>42</v>
      </c>
      <c r="M15" t="str">
        <f>SUBSTITUTE("2005",L15,"2017")</f>
        <v>2005</v>
      </c>
      <c r="N15" s="11"/>
    </row>
    <row r="16" spans="1:14" ht="15" thickBot="1" x14ac:dyDescent="0.4">
      <c r="A16" s="12"/>
      <c r="B16" s="13"/>
      <c r="C16" s="13"/>
      <c r="D16" s="121">
        <f>AVERAGE(C4:C13)</f>
        <v>58.6</v>
      </c>
      <c r="E16" s="122"/>
      <c r="F16" s="13"/>
      <c r="G16" s="14"/>
      <c r="L16" s="15" t="s">
        <v>44</v>
      </c>
      <c r="N16" s="11"/>
    </row>
    <row r="17" spans="1:14" x14ac:dyDescent="0.35">
      <c r="D17" s="111"/>
      <c r="E17" s="107"/>
      <c r="L17" s="10"/>
      <c r="N17" s="11"/>
    </row>
    <row r="18" spans="1:14" x14ac:dyDescent="0.35">
      <c r="D18" s="120"/>
      <c r="E18" s="108"/>
      <c r="L18" s="10" t="s">
        <v>42</v>
      </c>
      <c r="M18" t="str">
        <f>MID(L18,5,4)</f>
        <v>2017</v>
      </c>
      <c r="N18" s="11"/>
    </row>
    <row r="19" spans="1:14" x14ac:dyDescent="0.35">
      <c r="D19" s="111"/>
      <c r="E19" s="107"/>
      <c r="L19" s="15" t="s">
        <v>45</v>
      </c>
      <c r="N19" s="11"/>
    </row>
    <row r="20" spans="1:14" x14ac:dyDescent="0.35">
      <c r="A20" t="s">
        <v>49</v>
      </c>
      <c r="L20" s="10" t="s">
        <v>42</v>
      </c>
      <c r="M20">
        <f>SEARCH("001",L20)</f>
        <v>10</v>
      </c>
      <c r="N20" s="11"/>
    </row>
    <row r="21" spans="1:14" x14ac:dyDescent="0.35">
      <c r="L21" s="15" t="s">
        <v>46</v>
      </c>
      <c r="N21" s="11"/>
    </row>
    <row r="22" spans="1:14" ht="15" thickBot="1" x14ac:dyDescent="0.4">
      <c r="L22" s="12" t="s">
        <v>25</v>
      </c>
      <c r="M22" s="13" t="str">
        <f>_xlfn.CONCAT(L22," ","LATHA")</f>
        <v>HEMA LATHA</v>
      </c>
      <c r="N22" s="14"/>
    </row>
  </sheetData>
  <mergeCells count="37">
    <mergeCell ref="L1:N1"/>
    <mergeCell ref="L2:M2"/>
    <mergeCell ref="F7:G7"/>
    <mergeCell ref="F8:G8"/>
    <mergeCell ref="F9:G9"/>
    <mergeCell ref="D1:G1"/>
    <mergeCell ref="I1:J1"/>
    <mergeCell ref="I2:J2"/>
    <mergeCell ref="I3:J3"/>
    <mergeCell ref="I4:J4"/>
    <mergeCell ref="I5:J5"/>
    <mergeCell ref="I6:J6"/>
    <mergeCell ref="I7:J7"/>
    <mergeCell ref="D6:E6"/>
    <mergeCell ref="D7:E7"/>
    <mergeCell ref="D2:E2"/>
    <mergeCell ref="D14:E14"/>
    <mergeCell ref="D15:E15"/>
    <mergeCell ref="D16:E16"/>
    <mergeCell ref="D17:E17"/>
    <mergeCell ref="D18:E18"/>
    <mergeCell ref="D3:E3"/>
    <mergeCell ref="D4:E4"/>
    <mergeCell ref="D5:E5"/>
    <mergeCell ref="D19:E19"/>
    <mergeCell ref="I8:J8"/>
    <mergeCell ref="I9:J9"/>
    <mergeCell ref="I10:J10"/>
    <mergeCell ref="I11:J11"/>
    <mergeCell ref="I12:J12"/>
    <mergeCell ref="I13:J13"/>
    <mergeCell ref="D12:E12"/>
    <mergeCell ref="D13:E13"/>
    <mergeCell ref="D8:E8"/>
    <mergeCell ref="D9:E9"/>
    <mergeCell ref="D10:E10"/>
    <mergeCell ref="D11:E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2C1C-FDEF-4FFB-A684-708248B84688}">
  <dimension ref="A1:T21"/>
  <sheetViews>
    <sheetView workbookViewId="0">
      <selection activeCell="O7" sqref="O7"/>
    </sheetView>
  </sheetViews>
  <sheetFormatPr defaultRowHeight="14.5" x14ac:dyDescent="0.35"/>
  <cols>
    <col min="2" max="2" width="14.6328125" customWidth="1"/>
    <col min="4" max="4" width="12.26953125" customWidth="1"/>
    <col min="5" max="5" width="12.90625" customWidth="1"/>
    <col min="6" max="6" width="10.81640625" customWidth="1"/>
    <col min="10" max="10" width="13.26953125" customWidth="1"/>
  </cols>
  <sheetData>
    <row r="1" spans="1:20" ht="15" thickBot="1" x14ac:dyDescent="0.4">
      <c r="A1" s="107" t="s">
        <v>50</v>
      </c>
      <c r="B1" s="107"/>
      <c r="C1" s="107"/>
      <c r="I1" s="4" t="s">
        <v>69</v>
      </c>
    </row>
    <row r="2" spans="1:20" ht="15" thickBot="1" x14ac:dyDescent="0.4">
      <c r="B2" s="129" t="s">
        <v>68</v>
      </c>
      <c r="C2" s="130"/>
      <c r="D2" s="130"/>
      <c r="E2" s="130"/>
      <c r="F2" s="130"/>
      <c r="G2" s="131"/>
      <c r="I2" s="132" t="s">
        <v>84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4"/>
    </row>
    <row r="3" spans="1:20" x14ac:dyDescent="0.35">
      <c r="B3" s="15" t="s">
        <v>51</v>
      </c>
      <c r="G3" s="11"/>
      <c r="I3" s="15" t="s">
        <v>70</v>
      </c>
      <c r="J3" s="4"/>
      <c r="T3" s="11"/>
    </row>
    <row r="4" spans="1:20" ht="29" x14ac:dyDescent="0.35">
      <c r="B4" s="10">
        <f>PRODUCT(2,4)</f>
        <v>8</v>
      </c>
      <c r="D4" s="8" t="s">
        <v>56</v>
      </c>
      <c r="E4" s="8" t="s">
        <v>51</v>
      </c>
      <c r="F4" s="8" t="s">
        <v>57</v>
      </c>
      <c r="G4" s="11"/>
      <c r="I4" s="21" t="s">
        <v>71</v>
      </c>
      <c r="J4" s="22" t="s">
        <v>72</v>
      </c>
      <c r="K4" s="22" t="s">
        <v>73</v>
      </c>
      <c r="M4" s="23"/>
      <c r="N4" s="23" t="s">
        <v>79</v>
      </c>
      <c r="O4" s="22" t="s">
        <v>80</v>
      </c>
      <c r="T4" s="11"/>
    </row>
    <row r="5" spans="1:20" x14ac:dyDescent="0.35">
      <c r="B5" s="15" t="s">
        <v>52</v>
      </c>
      <c r="D5" s="9" t="s">
        <v>58</v>
      </c>
      <c r="E5" s="9" t="s">
        <v>59</v>
      </c>
      <c r="F5" s="9">
        <v>35000</v>
      </c>
      <c r="G5" s="11"/>
      <c r="I5" s="24">
        <v>101</v>
      </c>
      <c r="J5" s="17" t="s">
        <v>74</v>
      </c>
      <c r="K5" s="17">
        <v>20000</v>
      </c>
      <c r="M5" s="17" t="s">
        <v>81</v>
      </c>
      <c r="N5" s="17">
        <v>30000</v>
      </c>
      <c r="O5" s="18">
        <v>0.1</v>
      </c>
      <c r="T5" s="11"/>
    </row>
    <row r="6" spans="1:20" x14ac:dyDescent="0.35">
      <c r="B6" s="10">
        <f>MOD(99,2)</f>
        <v>1</v>
      </c>
      <c r="D6" s="9" t="s">
        <v>58</v>
      </c>
      <c r="E6" s="9" t="s">
        <v>60</v>
      </c>
      <c r="F6" s="9">
        <v>30000</v>
      </c>
      <c r="G6" s="11"/>
      <c r="I6" s="24">
        <v>102</v>
      </c>
      <c r="J6" s="17" t="s">
        <v>75</v>
      </c>
      <c r="K6" s="17">
        <v>10000</v>
      </c>
      <c r="M6" s="17" t="s">
        <v>81</v>
      </c>
      <c r="N6" s="17">
        <v>50000</v>
      </c>
      <c r="O6" s="18">
        <v>0.2</v>
      </c>
      <c r="T6" s="11"/>
    </row>
    <row r="7" spans="1:20" x14ac:dyDescent="0.35">
      <c r="B7" s="10">
        <f>MOD(100,20)</f>
        <v>0</v>
      </c>
      <c r="D7" s="9" t="s">
        <v>58</v>
      </c>
      <c r="E7" s="9" t="s">
        <v>61</v>
      </c>
      <c r="F7" s="9">
        <v>40000</v>
      </c>
      <c r="G7" s="11"/>
      <c r="I7" s="24">
        <v>103</v>
      </c>
      <c r="J7" s="17" t="s">
        <v>76</v>
      </c>
      <c r="K7" s="17">
        <v>27000</v>
      </c>
      <c r="M7" s="17" t="s">
        <v>81</v>
      </c>
      <c r="N7" s="17">
        <v>80000</v>
      </c>
      <c r="O7" s="18">
        <v>0.3</v>
      </c>
      <c r="T7" s="11"/>
    </row>
    <row r="8" spans="1:20" ht="29" x14ac:dyDescent="0.35">
      <c r="B8" s="15" t="s">
        <v>14</v>
      </c>
      <c r="D8" s="9" t="s">
        <v>62</v>
      </c>
      <c r="E8" s="9" t="s">
        <v>59</v>
      </c>
      <c r="F8" s="9">
        <v>20000</v>
      </c>
      <c r="G8" s="11"/>
      <c r="I8" s="24">
        <v>104</v>
      </c>
      <c r="J8" s="19" t="s">
        <v>77</v>
      </c>
      <c r="K8" s="17">
        <v>13500</v>
      </c>
      <c r="M8" s="17" t="s">
        <v>81</v>
      </c>
      <c r="N8" s="17">
        <v>100000</v>
      </c>
      <c r="O8" s="18">
        <v>0.4</v>
      </c>
      <c r="T8" s="11"/>
    </row>
    <row r="9" spans="1:20" x14ac:dyDescent="0.35">
      <c r="B9" s="10">
        <v>15</v>
      </c>
      <c r="D9" s="9" t="s">
        <v>62</v>
      </c>
      <c r="E9" s="9" t="s">
        <v>61</v>
      </c>
      <c r="F9" s="9">
        <v>43000</v>
      </c>
      <c r="G9" s="11"/>
      <c r="I9" s="24">
        <v>105</v>
      </c>
      <c r="J9" s="17" t="s">
        <v>78</v>
      </c>
      <c r="K9" s="17">
        <v>18500</v>
      </c>
      <c r="T9" s="11"/>
    </row>
    <row r="10" spans="1:20" x14ac:dyDescent="0.35">
      <c r="B10" s="10">
        <f>SQRT(B9)</f>
        <v>3.872983346207417</v>
      </c>
      <c r="D10" s="9" t="s">
        <v>62</v>
      </c>
      <c r="E10" s="9" t="s">
        <v>60</v>
      </c>
      <c r="F10" s="9">
        <v>35000</v>
      </c>
      <c r="G10" s="11"/>
      <c r="I10" s="10"/>
      <c r="T10" s="11"/>
    </row>
    <row r="11" spans="1:20" x14ac:dyDescent="0.35">
      <c r="B11" s="15" t="s">
        <v>53</v>
      </c>
      <c r="D11" s="9" t="s">
        <v>63</v>
      </c>
      <c r="E11" s="9" t="s">
        <v>59</v>
      </c>
      <c r="F11" s="9">
        <v>40000</v>
      </c>
      <c r="G11" s="11"/>
      <c r="I11" s="24">
        <v>103</v>
      </c>
      <c r="J11" s="7" t="str">
        <f>VLOOKUP(I11,I5:K9,2,0)</f>
        <v>AC</v>
      </c>
      <c r="T11" s="11"/>
    </row>
    <row r="12" spans="1:20" x14ac:dyDescent="0.35">
      <c r="B12" s="10">
        <f>FACT(4)</f>
        <v>24</v>
      </c>
      <c r="D12" s="9" t="s">
        <v>63</v>
      </c>
      <c r="E12" s="9" t="s">
        <v>60</v>
      </c>
      <c r="F12" s="9">
        <v>37000</v>
      </c>
      <c r="G12" s="11"/>
      <c r="I12" s="24">
        <v>80000</v>
      </c>
      <c r="J12" s="20">
        <f>VLOOKUP(I12,N5:O8,2,0)</f>
        <v>0.3</v>
      </c>
      <c r="T12" s="11"/>
    </row>
    <row r="13" spans="1:20" x14ac:dyDescent="0.35">
      <c r="B13" s="10">
        <f>FACT(6)</f>
        <v>720</v>
      </c>
      <c r="D13" s="9" t="s">
        <v>63</v>
      </c>
      <c r="E13" s="9" t="s">
        <v>61</v>
      </c>
      <c r="F13" s="9">
        <v>30000</v>
      </c>
      <c r="G13" s="11"/>
      <c r="I13" s="10"/>
      <c r="T13" s="11"/>
    </row>
    <row r="14" spans="1:20" x14ac:dyDescent="0.35">
      <c r="B14" s="15" t="s">
        <v>54</v>
      </c>
      <c r="F14" s="4" t="s">
        <v>17</v>
      </c>
      <c r="G14" s="11">
        <f>SUM(F5:F13)</f>
        <v>310000</v>
      </c>
      <c r="I14" s="21" t="s">
        <v>71</v>
      </c>
      <c r="J14" s="17">
        <v>101</v>
      </c>
      <c r="K14" s="17">
        <v>102</v>
      </c>
      <c r="L14" s="17">
        <v>103</v>
      </c>
      <c r="M14" s="17">
        <v>104</v>
      </c>
      <c r="N14" s="17">
        <v>105</v>
      </c>
      <c r="P14" s="23"/>
      <c r="Q14" s="23" t="s">
        <v>81</v>
      </c>
      <c r="R14" s="23" t="s">
        <v>81</v>
      </c>
      <c r="S14" s="23" t="s">
        <v>81</v>
      </c>
      <c r="T14" s="25" t="s">
        <v>81</v>
      </c>
    </row>
    <row r="15" spans="1:20" ht="43.5" x14ac:dyDescent="0.35">
      <c r="B15" s="10">
        <f>ROUNDUP(111,2)</f>
        <v>111</v>
      </c>
      <c r="F15" s="4" t="s">
        <v>64</v>
      </c>
      <c r="G15" s="11">
        <f>SUMIF(E5:E13,"MILK",F5:F13)</f>
        <v>95000</v>
      </c>
      <c r="I15" s="26" t="s">
        <v>82</v>
      </c>
      <c r="J15" s="17" t="s">
        <v>74</v>
      </c>
      <c r="K15" s="17" t="s">
        <v>75</v>
      </c>
      <c r="L15" s="17" t="s">
        <v>76</v>
      </c>
      <c r="M15" s="19" t="s">
        <v>77</v>
      </c>
      <c r="N15" s="17" t="s">
        <v>78</v>
      </c>
      <c r="P15" s="23" t="s">
        <v>81</v>
      </c>
      <c r="Q15" s="17">
        <v>30000</v>
      </c>
      <c r="R15" s="17">
        <v>50000</v>
      </c>
      <c r="S15" s="17">
        <v>80000</v>
      </c>
      <c r="T15" s="27">
        <v>100000</v>
      </c>
    </row>
    <row r="16" spans="1:20" x14ac:dyDescent="0.35">
      <c r="B16" s="10"/>
      <c r="F16" s="4" t="s">
        <v>65</v>
      </c>
      <c r="G16" s="11">
        <f>SUMIFS(F5:F13,D5:D13,"MUMBAI",E5:E13,"ICE CREAM")</f>
        <v>30000</v>
      </c>
      <c r="I16" s="21" t="s">
        <v>73</v>
      </c>
      <c r="J16" s="17">
        <v>20000</v>
      </c>
      <c r="K16" s="17">
        <v>10000</v>
      </c>
      <c r="L16" s="17">
        <v>27000</v>
      </c>
      <c r="M16" s="17">
        <v>13500</v>
      </c>
      <c r="N16" s="17">
        <v>18500</v>
      </c>
      <c r="P16" s="23" t="s">
        <v>83</v>
      </c>
      <c r="Q16" s="18">
        <v>0.1</v>
      </c>
      <c r="R16" s="18">
        <v>0.2</v>
      </c>
      <c r="S16" s="18">
        <v>0.3</v>
      </c>
      <c r="T16" s="28">
        <v>0.4</v>
      </c>
    </row>
    <row r="17" spans="2:20" x14ac:dyDescent="0.35">
      <c r="B17" s="15" t="s">
        <v>55</v>
      </c>
      <c r="F17" s="4" t="s">
        <v>18</v>
      </c>
      <c r="G17" s="11">
        <f>AVERAGE(F5:F13)</f>
        <v>34444.444444444445</v>
      </c>
      <c r="I17" s="10"/>
      <c r="T17" s="11"/>
    </row>
    <row r="18" spans="2:20" x14ac:dyDescent="0.35">
      <c r="B18" s="10">
        <f>ROUNDDOWN(99.19,0)</f>
        <v>99</v>
      </c>
      <c r="F18" s="4" t="s">
        <v>66</v>
      </c>
      <c r="G18" s="11">
        <f>AVERAGEIF(E5:E13,"CURD",F5:F13)</f>
        <v>34000</v>
      </c>
      <c r="I18" s="10"/>
      <c r="T18" s="11"/>
    </row>
    <row r="19" spans="2:20" ht="15" thickBot="1" x14ac:dyDescent="0.4">
      <c r="B19" s="12"/>
      <c r="C19" s="13"/>
      <c r="D19" s="13"/>
      <c r="E19" s="13"/>
      <c r="F19" s="16" t="s">
        <v>67</v>
      </c>
      <c r="G19" s="14">
        <f>AVERAGEIFS(F5:F13,D5:D13,"DELHI",E5:E13,"MILK")</f>
        <v>20000</v>
      </c>
      <c r="I19" s="10"/>
      <c r="J19" s="7">
        <v>105</v>
      </c>
      <c r="K19" s="7" t="str">
        <f>HLOOKUP(J19,J14:N16,2,0)</f>
        <v>CAMERA</v>
      </c>
      <c r="T19" s="11"/>
    </row>
    <row r="20" spans="2:20" x14ac:dyDescent="0.35">
      <c r="I20" s="10"/>
      <c r="J20" s="7">
        <v>100000</v>
      </c>
      <c r="K20" s="20">
        <f>HLOOKUP(J20,Q15:T16,2,0)</f>
        <v>0.4</v>
      </c>
      <c r="T20" s="11"/>
    </row>
    <row r="21" spans="2:20" ht="15" thickBot="1" x14ac:dyDescent="0.4"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</row>
  </sheetData>
  <mergeCells count="3">
    <mergeCell ref="A1:C1"/>
    <mergeCell ref="B2:G2"/>
    <mergeCell ref="I2:T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C362-E4E0-4E8C-9EB0-F45E8173D000}">
  <dimension ref="A1:U28"/>
  <sheetViews>
    <sheetView topLeftCell="E7" workbookViewId="0">
      <selection activeCell="M23" sqref="M23"/>
    </sheetView>
  </sheetViews>
  <sheetFormatPr defaultRowHeight="14.5" x14ac:dyDescent="0.35"/>
  <cols>
    <col min="6" max="6" width="10.81640625" customWidth="1"/>
  </cols>
  <sheetData>
    <row r="1" spans="1:21" ht="15" thickBot="1" x14ac:dyDescent="0.4">
      <c r="A1" s="4" t="s">
        <v>85</v>
      </c>
      <c r="B1" s="4"/>
      <c r="C1" s="4"/>
      <c r="D1" s="4"/>
    </row>
    <row r="2" spans="1:21" x14ac:dyDescent="0.35">
      <c r="A2" s="135" t="s">
        <v>93</v>
      </c>
      <c r="B2" s="136"/>
      <c r="C2" s="136"/>
      <c r="D2" s="136"/>
      <c r="E2" s="136"/>
      <c r="F2" s="136"/>
      <c r="G2" s="136"/>
      <c r="H2" s="137"/>
      <c r="J2" t="s">
        <v>95</v>
      </c>
    </row>
    <row r="3" spans="1:21" x14ac:dyDescent="0.35">
      <c r="A3" s="31" t="s">
        <v>86</v>
      </c>
      <c r="B3" s="30" t="s">
        <v>1</v>
      </c>
      <c r="C3" s="30" t="s">
        <v>2</v>
      </c>
      <c r="D3" s="30" t="s">
        <v>87</v>
      </c>
      <c r="E3" s="30" t="s">
        <v>88</v>
      </c>
      <c r="F3" s="30" t="s">
        <v>89</v>
      </c>
      <c r="G3" s="30" t="s">
        <v>90</v>
      </c>
      <c r="H3" s="32" t="s">
        <v>91</v>
      </c>
      <c r="J3" s="4" t="s">
        <v>96</v>
      </c>
    </row>
    <row r="4" spans="1:21" ht="15" thickBot="1" x14ac:dyDescent="0.4">
      <c r="A4" s="33">
        <v>1</v>
      </c>
      <c r="B4" s="7" t="s">
        <v>3</v>
      </c>
      <c r="C4" s="7">
        <v>87</v>
      </c>
      <c r="D4" s="7">
        <v>36</v>
      </c>
      <c r="E4" s="7">
        <v>56</v>
      </c>
      <c r="F4" s="7" t="b">
        <f>OR(C4&gt;35,D4&gt;35,E4&gt;35)</f>
        <v>1</v>
      </c>
      <c r="G4" s="7" t="b">
        <f>AND(C4&gt;35,D4&gt;35,E4&gt;35)</f>
        <v>1</v>
      </c>
      <c r="H4" s="34" t="b">
        <f>NOT(G4)</f>
        <v>0</v>
      </c>
    </row>
    <row r="5" spans="1:21" ht="29" x14ac:dyDescent="0.35">
      <c r="A5" s="33">
        <v>2</v>
      </c>
      <c r="B5" s="7" t="s">
        <v>4</v>
      </c>
      <c r="C5" s="7">
        <v>65</v>
      </c>
      <c r="D5" s="7">
        <v>47</v>
      </c>
      <c r="E5" s="7">
        <v>78</v>
      </c>
      <c r="F5" s="7" t="b">
        <f t="shared" ref="F5:F13" si="0">OR(C5&gt;35,D5&gt;35,E5&gt;35)</f>
        <v>1</v>
      </c>
      <c r="G5" s="7" t="b">
        <f t="shared" ref="G5:G13" si="1">AND(C5&gt;35,D5&gt;35,E5&gt;35)</f>
        <v>1</v>
      </c>
      <c r="H5" s="34" t="b">
        <f t="shared" ref="H5:H13" si="2">NOT(G5)</f>
        <v>0</v>
      </c>
      <c r="J5" s="7" t="s">
        <v>141</v>
      </c>
      <c r="K5" s="7" t="s">
        <v>142</v>
      </c>
      <c r="L5" s="7" t="s">
        <v>143</v>
      </c>
      <c r="M5" s="7" t="s">
        <v>144</v>
      </c>
      <c r="N5" s="106" t="s">
        <v>145</v>
      </c>
      <c r="P5" s="90"/>
      <c r="Q5" s="90" t="s">
        <v>141</v>
      </c>
      <c r="R5" s="90" t="s">
        <v>142</v>
      </c>
      <c r="S5" s="90" t="s">
        <v>143</v>
      </c>
      <c r="T5" s="90" t="s">
        <v>144</v>
      </c>
      <c r="U5" s="90" t="s">
        <v>145</v>
      </c>
    </row>
    <row r="6" spans="1:21" x14ac:dyDescent="0.35">
      <c r="A6" s="33">
        <v>3</v>
      </c>
      <c r="B6" s="7" t="s">
        <v>5</v>
      </c>
      <c r="C6" s="7">
        <v>45</v>
      </c>
      <c r="D6" s="7">
        <v>58</v>
      </c>
      <c r="E6" s="7">
        <v>42</v>
      </c>
      <c r="F6" s="7" t="b">
        <f t="shared" si="0"/>
        <v>1</v>
      </c>
      <c r="G6" s="7" t="b">
        <f t="shared" si="1"/>
        <v>1</v>
      </c>
      <c r="H6" s="34" t="b">
        <f t="shared" si="2"/>
        <v>0</v>
      </c>
      <c r="J6" s="7">
        <v>673</v>
      </c>
      <c r="K6" s="7">
        <v>34</v>
      </c>
      <c r="L6" s="7">
        <v>2</v>
      </c>
      <c r="M6" s="7">
        <v>0</v>
      </c>
      <c r="N6" s="7">
        <v>101448.88</v>
      </c>
      <c r="P6" t="s">
        <v>141</v>
      </c>
      <c r="Q6">
        <v>1</v>
      </c>
    </row>
    <row r="7" spans="1:21" x14ac:dyDescent="0.35">
      <c r="A7" s="33">
        <v>4</v>
      </c>
      <c r="B7" s="7" t="s">
        <v>6</v>
      </c>
      <c r="C7" s="7">
        <v>70</v>
      </c>
      <c r="D7" s="7">
        <v>69</v>
      </c>
      <c r="E7" s="7">
        <v>56</v>
      </c>
      <c r="F7" s="7" t="b">
        <f t="shared" si="0"/>
        <v>1</v>
      </c>
      <c r="G7" s="7" t="b">
        <f t="shared" si="1"/>
        <v>1</v>
      </c>
      <c r="H7" s="34" t="b">
        <f t="shared" si="2"/>
        <v>0</v>
      </c>
      <c r="J7" s="7">
        <v>243</v>
      </c>
      <c r="K7" s="7">
        <v>45</v>
      </c>
      <c r="L7" s="7">
        <v>1</v>
      </c>
      <c r="M7" s="7">
        <v>83807.86</v>
      </c>
      <c r="N7" s="7">
        <v>115462.58</v>
      </c>
      <c r="P7" t="s">
        <v>142</v>
      </c>
      <c r="Q7">
        <v>-0.13392707776016446</v>
      </c>
      <c r="R7">
        <v>1</v>
      </c>
    </row>
    <row r="8" spans="1:21" x14ac:dyDescent="0.35">
      <c r="A8" s="33">
        <v>5</v>
      </c>
      <c r="B8" s="7" t="s">
        <v>7</v>
      </c>
      <c r="C8" s="7">
        <v>47</v>
      </c>
      <c r="D8" s="7">
        <v>78</v>
      </c>
      <c r="E8" s="7">
        <v>35</v>
      </c>
      <c r="F8" s="7" t="b">
        <f t="shared" si="0"/>
        <v>1</v>
      </c>
      <c r="G8" s="7" t="b">
        <f t="shared" si="1"/>
        <v>0</v>
      </c>
      <c r="H8" s="34" t="b">
        <f t="shared" si="2"/>
        <v>1</v>
      </c>
      <c r="J8" s="7">
        <v>564</v>
      </c>
      <c r="K8" s="7">
        <v>46</v>
      </c>
      <c r="L8" s="7">
        <v>8</v>
      </c>
      <c r="M8" s="7">
        <v>64358.76</v>
      </c>
      <c r="N8" s="7">
        <v>1276.28</v>
      </c>
      <c r="P8" t="s">
        <v>143</v>
      </c>
      <c r="Q8">
        <v>-0.11003802144490814</v>
      </c>
      <c r="R8">
        <v>0.33290292858904968</v>
      </c>
      <c r="S8">
        <v>1</v>
      </c>
    </row>
    <row r="9" spans="1:21" x14ac:dyDescent="0.35">
      <c r="A9" s="33">
        <v>6</v>
      </c>
      <c r="B9" s="7" t="s">
        <v>8</v>
      </c>
      <c r="C9" s="7">
        <v>68</v>
      </c>
      <c r="D9" s="7">
        <v>57</v>
      </c>
      <c r="E9" s="7">
        <v>56</v>
      </c>
      <c r="F9" s="7" t="b">
        <f t="shared" si="0"/>
        <v>1</v>
      </c>
      <c r="G9" s="7" t="b">
        <f t="shared" si="1"/>
        <v>1</v>
      </c>
      <c r="H9" s="34" t="b">
        <f t="shared" si="2"/>
        <v>0</v>
      </c>
      <c r="J9" s="7">
        <v>576</v>
      </c>
      <c r="K9" s="7">
        <v>36</v>
      </c>
      <c r="L9" s="7">
        <v>1</v>
      </c>
      <c r="M9" s="7">
        <v>0</v>
      </c>
      <c r="N9" s="7">
        <v>43489.98</v>
      </c>
      <c r="P9" t="s">
        <v>144</v>
      </c>
      <c r="Q9">
        <v>0.22016734475575692</v>
      </c>
      <c r="R9">
        <v>5.9801620211283588E-2</v>
      </c>
      <c r="S9">
        <v>-0.10848394048121733</v>
      </c>
      <c r="T9">
        <v>1</v>
      </c>
    </row>
    <row r="10" spans="1:21" ht="15" thickBot="1" x14ac:dyDescent="0.4">
      <c r="A10" s="33">
        <v>7</v>
      </c>
      <c r="B10" s="7" t="s">
        <v>9</v>
      </c>
      <c r="C10" s="7">
        <v>37</v>
      </c>
      <c r="D10" s="7">
        <v>75</v>
      </c>
      <c r="E10" s="7">
        <v>76</v>
      </c>
      <c r="F10" s="7" t="b">
        <f t="shared" si="0"/>
        <v>1</v>
      </c>
      <c r="G10" s="7" t="b">
        <f t="shared" si="1"/>
        <v>1</v>
      </c>
      <c r="H10" s="34" t="b">
        <f t="shared" si="2"/>
        <v>0</v>
      </c>
      <c r="J10" s="7">
        <v>987</v>
      </c>
      <c r="K10" s="7">
        <v>26</v>
      </c>
      <c r="L10" s="7">
        <v>2</v>
      </c>
      <c r="M10" s="7">
        <v>125510.82</v>
      </c>
      <c r="N10" s="7">
        <v>1957503.68</v>
      </c>
      <c r="P10" s="13" t="s">
        <v>145</v>
      </c>
      <c r="Q10" s="13">
        <v>1.1910145977590341E-2</v>
      </c>
      <c r="R10" s="13">
        <v>-0.15431309138991411</v>
      </c>
      <c r="S10" s="13">
        <v>-2.9211803041952679E-2</v>
      </c>
      <c r="T10" s="13">
        <v>-0.35905178570475516</v>
      </c>
      <c r="U10" s="13">
        <v>1</v>
      </c>
    </row>
    <row r="11" spans="1:21" ht="15" thickBot="1" x14ac:dyDescent="0.4">
      <c r="A11" s="33">
        <v>8</v>
      </c>
      <c r="B11" s="7" t="s">
        <v>10</v>
      </c>
      <c r="C11" s="7">
        <v>58</v>
      </c>
      <c r="D11" s="7">
        <v>54</v>
      </c>
      <c r="E11" s="7">
        <v>43</v>
      </c>
      <c r="F11" s="7" t="b">
        <f t="shared" si="0"/>
        <v>1</v>
      </c>
      <c r="G11" s="7" t="b">
        <f t="shared" si="1"/>
        <v>1</v>
      </c>
      <c r="H11" s="34" t="b">
        <f t="shared" si="2"/>
        <v>0</v>
      </c>
      <c r="J11" s="7">
        <v>456</v>
      </c>
      <c r="K11" s="7">
        <v>37</v>
      </c>
      <c r="L11" s="7">
        <v>8</v>
      </c>
      <c r="M11" s="7">
        <v>113755.78</v>
      </c>
      <c r="N11" s="7">
        <v>1791517.38</v>
      </c>
    </row>
    <row r="12" spans="1:21" x14ac:dyDescent="0.35">
      <c r="A12" s="33">
        <v>9</v>
      </c>
      <c r="B12" s="7" t="s">
        <v>11</v>
      </c>
      <c r="C12" s="7">
        <v>97</v>
      </c>
      <c r="D12" s="7">
        <v>34</v>
      </c>
      <c r="E12" s="7">
        <v>24</v>
      </c>
      <c r="F12" s="7" t="b">
        <f t="shared" si="0"/>
        <v>1</v>
      </c>
      <c r="G12" s="7" t="b">
        <f t="shared" si="1"/>
        <v>0</v>
      </c>
      <c r="H12" s="34" t="b">
        <f t="shared" si="2"/>
        <v>1</v>
      </c>
      <c r="J12" s="7">
        <v>678</v>
      </c>
      <c r="K12" s="7">
        <v>39</v>
      </c>
      <c r="L12" s="7">
        <v>7</v>
      </c>
      <c r="M12" s="7">
        <v>0</v>
      </c>
      <c r="N12" s="7">
        <v>1831.08</v>
      </c>
      <c r="P12" s="90" t="s">
        <v>159</v>
      </c>
      <c r="Q12" s="90" t="s">
        <v>145</v>
      </c>
      <c r="R12" s="90" t="s">
        <v>160</v>
      </c>
      <c r="S12" s="90" t="s">
        <v>161</v>
      </c>
    </row>
    <row r="13" spans="1:21" x14ac:dyDescent="0.35">
      <c r="A13" s="33">
        <v>10</v>
      </c>
      <c r="B13" s="7" t="s">
        <v>12</v>
      </c>
      <c r="C13" s="7">
        <v>36</v>
      </c>
      <c r="D13" s="7">
        <v>26</v>
      </c>
      <c r="E13" s="7">
        <v>30</v>
      </c>
      <c r="F13" s="7" t="b">
        <f t="shared" si="0"/>
        <v>1</v>
      </c>
      <c r="G13" s="7" t="b">
        <f t="shared" si="1"/>
        <v>0</v>
      </c>
      <c r="H13" s="34" t="b">
        <f t="shared" si="2"/>
        <v>1</v>
      </c>
      <c r="J13" s="7">
        <v>977</v>
      </c>
      <c r="K13" s="7">
        <v>45</v>
      </c>
      <c r="L13" s="7">
        <v>4</v>
      </c>
      <c r="M13" s="7">
        <v>114220.74</v>
      </c>
      <c r="N13" s="7">
        <v>199544.78</v>
      </c>
      <c r="P13">
        <v>11</v>
      </c>
      <c r="Q13">
        <v>24154385.879999999</v>
      </c>
      <c r="R13">
        <v>1</v>
      </c>
      <c r="S13" s="91">
        <v>1</v>
      </c>
    </row>
    <row r="14" spans="1:21" x14ac:dyDescent="0.35">
      <c r="A14" s="10"/>
      <c r="H14" s="11"/>
      <c r="J14" s="7">
        <v>535</v>
      </c>
      <c r="K14" s="7">
        <v>36</v>
      </c>
      <c r="L14" s="7">
        <v>2</v>
      </c>
      <c r="M14" s="7">
        <v>134603.88</v>
      </c>
      <c r="N14" s="7">
        <v>23558.48</v>
      </c>
      <c r="P14">
        <v>13</v>
      </c>
      <c r="Q14">
        <v>21169613.280000001</v>
      </c>
      <c r="R14">
        <v>2</v>
      </c>
      <c r="S14" s="91">
        <v>0.93300000000000005</v>
      </c>
    </row>
    <row r="15" spans="1:21" x14ac:dyDescent="0.35">
      <c r="A15" s="31" t="s">
        <v>86</v>
      </c>
      <c r="B15" s="30" t="s">
        <v>1</v>
      </c>
      <c r="C15" s="30" t="s">
        <v>2</v>
      </c>
      <c r="D15" s="30" t="s">
        <v>92</v>
      </c>
      <c r="H15" s="11"/>
      <c r="J15" s="7">
        <v>565</v>
      </c>
      <c r="K15" s="7">
        <v>38</v>
      </c>
      <c r="L15" s="7">
        <v>6</v>
      </c>
      <c r="M15" s="7">
        <v>102016.72</v>
      </c>
      <c r="N15" s="7">
        <v>227572.18</v>
      </c>
      <c r="P15">
        <v>14</v>
      </c>
      <c r="Q15">
        <v>2836126.98</v>
      </c>
      <c r="R15">
        <v>3</v>
      </c>
      <c r="S15" s="91">
        <v>0.86599999999999999</v>
      </c>
    </row>
    <row r="16" spans="1:21" x14ac:dyDescent="0.35">
      <c r="A16" s="33">
        <v>1</v>
      </c>
      <c r="B16" s="7" t="s">
        <v>3</v>
      </c>
      <c r="C16" s="7">
        <v>87</v>
      </c>
      <c r="D16" s="7" t="str">
        <f>IF(C16&gt;50,"PASS","FAIL")</f>
        <v>PASS</v>
      </c>
      <c r="H16" s="11"/>
      <c r="J16" s="7">
        <v>678</v>
      </c>
      <c r="K16" s="7">
        <v>39</v>
      </c>
      <c r="L16" s="7">
        <v>3</v>
      </c>
      <c r="M16" s="7">
        <v>0</v>
      </c>
      <c r="N16" s="7">
        <v>24154385.879999999</v>
      </c>
      <c r="P16">
        <v>5</v>
      </c>
      <c r="Q16">
        <v>1957503.68</v>
      </c>
      <c r="R16">
        <v>4</v>
      </c>
      <c r="S16" s="91">
        <v>0.8</v>
      </c>
    </row>
    <row r="17" spans="1:19" x14ac:dyDescent="0.35">
      <c r="A17" s="33">
        <v>2</v>
      </c>
      <c r="B17" s="7" t="s">
        <v>4</v>
      </c>
      <c r="C17" s="7">
        <v>65</v>
      </c>
      <c r="D17" s="7" t="str">
        <f t="shared" ref="D17:D25" si="3">IF(C17&gt;50,"PASS","FAIL")</f>
        <v>PASS</v>
      </c>
      <c r="H17" s="11"/>
      <c r="J17" s="7">
        <v>345</v>
      </c>
      <c r="K17" s="7">
        <v>56</v>
      </c>
      <c r="L17" s="7">
        <v>10</v>
      </c>
      <c r="M17" s="7">
        <v>0</v>
      </c>
      <c r="N17" s="7">
        <v>255599.58</v>
      </c>
      <c r="P17">
        <v>6</v>
      </c>
      <c r="Q17">
        <v>1791517.38</v>
      </c>
      <c r="R17">
        <v>5</v>
      </c>
      <c r="S17" s="91">
        <v>0.73299999999999998</v>
      </c>
    </row>
    <row r="18" spans="1:19" x14ac:dyDescent="0.35">
      <c r="A18" s="33">
        <v>3</v>
      </c>
      <c r="B18" s="7" t="s">
        <v>5</v>
      </c>
      <c r="C18" s="7">
        <v>45</v>
      </c>
      <c r="D18" s="7" t="str">
        <f t="shared" si="3"/>
        <v>FAIL</v>
      </c>
      <c r="H18" s="11"/>
      <c r="J18" s="7">
        <v>356</v>
      </c>
      <c r="K18" s="7">
        <v>34</v>
      </c>
      <c r="L18" s="7">
        <v>5</v>
      </c>
      <c r="M18" s="7">
        <v>0</v>
      </c>
      <c r="N18" s="7">
        <v>21169613.280000001</v>
      </c>
      <c r="P18">
        <v>12</v>
      </c>
      <c r="Q18">
        <v>255599.58</v>
      </c>
      <c r="R18">
        <v>6</v>
      </c>
      <c r="S18" s="91">
        <v>0.66600000000000004</v>
      </c>
    </row>
    <row r="19" spans="1:19" x14ac:dyDescent="0.35">
      <c r="A19" s="33">
        <v>4</v>
      </c>
      <c r="B19" s="7" t="s">
        <v>6</v>
      </c>
      <c r="C19" s="7">
        <v>70</v>
      </c>
      <c r="D19" s="7" t="str">
        <f t="shared" si="3"/>
        <v>PASS</v>
      </c>
      <c r="H19" s="11"/>
      <c r="J19" s="7">
        <v>243</v>
      </c>
      <c r="K19" s="7">
        <v>24</v>
      </c>
      <c r="L19" s="7">
        <v>7</v>
      </c>
      <c r="M19" s="7">
        <v>14219.41</v>
      </c>
      <c r="N19" s="7">
        <v>2836126.98</v>
      </c>
      <c r="P19">
        <v>10</v>
      </c>
      <c r="Q19">
        <v>227572.18</v>
      </c>
      <c r="R19">
        <v>7</v>
      </c>
      <c r="S19" s="91">
        <v>0.6</v>
      </c>
    </row>
    <row r="20" spans="1:19" x14ac:dyDescent="0.35">
      <c r="A20" s="33">
        <v>5</v>
      </c>
      <c r="B20" s="7" t="s">
        <v>7</v>
      </c>
      <c r="C20" s="7">
        <v>47</v>
      </c>
      <c r="D20" s="7" t="str">
        <f t="shared" si="3"/>
        <v>FAIL</v>
      </c>
      <c r="H20" s="11"/>
      <c r="J20" s="7">
        <v>232</v>
      </c>
      <c r="K20" s="7">
        <v>45</v>
      </c>
      <c r="L20" s="7">
        <v>3</v>
      </c>
      <c r="M20" s="7">
        <v>132602.88</v>
      </c>
      <c r="N20" s="7">
        <v>2940.68</v>
      </c>
      <c r="P20">
        <v>8</v>
      </c>
      <c r="Q20">
        <v>199544.78</v>
      </c>
      <c r="R20">
        <v>8</v>
      </c>
      <c r="S20" s="91">
        <v>0.53300000000000003</v>
      </c>
    </row>
    <row r="21" spans="1:19" x14ac:dyDescent="0.35">
      <c r="A21" s="33">
        <v>6</v>
      </c>
      <c r="B21" s="7" t="s">
        <v>8</v>
      </c>
      <c r="C21" s="7">
        <v>68</v>
      </c>
      <c r="D21" s="7" t="str">
        <f t="shared" si="3"/>
        <v>PASS</v>
      </c>
      <c r="H21" s="11"/>
      <c r="J21" s="7">
        <v>232</v>
      </c>
      <c r="K21" s="7">
        <v>34</v>
      </c>
      <c r="L21" s="7">
        <v>1</v>
      </c>
      <c r="M21" s="7">
        <v>0</v>
      </c>
      <c r="N21" s="7">
        <v>11654.38</v>
      </c>
      <c r="P21">
        <v>2</v>
      </c>
      <c r="Q21">
        <v>115462.58</v>
      </c>
      <c r="R21">
        <v>9</v>
      </c>
      <c r="S21" s="91">
        <v>0.46600000000000003</v>
      </c>
    </row>
    <row r="22" spans="1:19" x14ac:dyDescent="0.35">
      <c r="A22" s="33">
        <v>7</v>
      </c>
      <c r="B22" s="7" t="s">
        <v>9</v>
      </c>
      <c r="C22" s="7">
        <v>37</v>
      </c>
      <c r="D22" s="7" t="str">
        <f t="shared" si="3"/>
        <v>FAIL</v>
      </c>
      <c r="H22" s="11"/>
      <c r="P22">
        <v>1</v>
      </c>
      <c r="Q22">
        <v>101448.88</v>
      </c>
      <c r="R22">
        <v>10</v>
      </c>
      <c r="S22" s="91">
        <v>0.4</v>
      </c>
    </row>
    <row r="23" spans="1:19" x14ac:dyDescent="0.35">
      <c r="A23" s="33">
        <v>8</v>
      </c>
      <c r="B23" s="7" t="s">
        <v>10</v>
      </c>
      <c r="C23" s="7">
        <v>58</v>
      </c>
      <c r="D23" s="7" t="str">
        <f t="shared" si="3"/>
        <v>PASS</v>
      </c>
      <c r="H23" s="11"/>
      <c r="P23">
        <v>4</v>
      </c>
      <c r="Q23">
        <v>43489.98</v>
      </c>
      <c r="R23">
        <v>11</v>
      </c>
      <c r="S23" s="91">
        <v>0.33300000000000002</v>
      </c>
    </row>
    <row r="24" spans="1:19" x14ac:dyDescent="0.35">
      <c r="A24" s="33">
        <v>9</v>
      </c>
      <c r="B24" s="7" t="s">
        <v>11</v>
      </c>
      <c r="C24" s="7">
        <v>97</v>
      </c>
      <c r="D24" s="7" t="str">
        <f t="shared" si="3"/>
        <v>PASS</v>
      </c>
      <c r="H24" s="11"/>
      <c r="P24">
        <v>9</v>
      </c>
      <c r="Q24">
        <v>23558.48</v>
      </c>
      <c r="R24">
        <v>12</v>
      </c>
      <c r="S24" s="91">
        <v>0.26600000000000001</v>
      </c>
    </row>
    <row r="25" spans="1:19" ht="15" thickBot="1" x14ac:dyDescent="0.4">
      <c r="A25" s="35">
        <v>10</v>
      </c>
      <c r="B25" s="36" t="s">
        <v>12</v>
      </c>
      <c r="C25" s="36">
        <v>36</v>
      </c>
      <c r="D25" s="36" t="str">
        <f t="shared" si="3"/>
        <v>FAIL</v>
      </c>
      <c r="E25" s="13"/>
      <c r="F25" s="13"/>
      <c r="G25" s="13"/>
      <c r="H25" s="14"/>
      <c r="P25">
        <v>16</v>
      </c>
      <c r="Q25">
        <v>11654.38</v>
      </c>
      <c r="R25">
        <v>13</v>
      </c>
      <c r="S25" s="91">
        <v>0.2</v>
      </c>
    </row>
    <row r="26" spans="1:19" x14ac:dyDescent="0.35">
      <c r="P26">
        <v>15</v>
      </c>
      <c r="Q26">
        <v>2940.68</v>
      </c>
      <c r="R26">
        <v>14</v>
      </c>
      <c r="S26" s="91">
        <v>0.13300000000000001</v>
      </c>
    </row>
    <row r="27" spans="1:19" x14ac:dyDescent="0.35">
      <c r="P27">
        <v>7</v>
      </c>
      <c r="Q27">
        <v>1831.08</v>
      </c>
      <c r="R27">
        <v>15</v>
      </c>
      <c r="S27" s="91">
        <v>6.6000000000000003E-2</v>
      </c>
    </row>
    <row r="28" spans="1:19" ht="15" thickBot="1" x14ac:dyDescent="0.4">
      <c r="P28" s="13">
        <v>3</v>
      </c>
      <c r="Q28" s="13">
        <v>1276.28</v>
      </c>
      <c r="R28" s="13">
        <v>16</v>
      </c>
      <c r="S28" s="92">
        <v>0</v>
      </c>
    </row>
  </sheetData>
  <mergeCells count="1"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EE0C-486F-419D-AA31-C297A0396081}">
  <dimension ref="A1:T27"/>
  <sheetViews>
    <sheetView topLeftCell="D1" workbookViewId="0">
      <selection activeCell="J1" sqref="J1"/>
    </sheetView>
  </sheetViews>
  <sheetFormatPr defaultRowHeight="14.5" x14ac:dyDescent="0.35"/>
  <cols>
    <col min="3" max="3" width="9.7265625" bestFit="1" customWidth="1"/>
    <col min="8" max="8" width="12.08984375" bestFit="1" customWidth="1"/>
    <col min="10" max="10" width="19.1796875" bestFit="1" customWidth="1"/>
    <col min="11" max="11" width="14.1796875" customWidth="1"/>
    <col min="16" max="16" width="12.08984375" bestFit="1" customWidth="1"/>
    <col min="18" max="18" width="14.26953125" customWidth="1"/>
    <col min="19" max="19" width="17.90625" customWidth="1"/>
  </cols>
  <sheetData>
    <row r="1" spans="1:19" x14ac:dyDescent="0.35">
      <c r="A1" t="s">
        <v>97</v>
      </c>
      <c r="E1" t="s">
        <v>104</v>
      </c>
      <c r="M1" t="s">
        <v>132</v>
      </c>
    </row>
    <row r="2" spans="1:19" x14ac:dyDescent="0.35">
      <c r="B2" t="s">
        <v>98</v>
      </c>
      <c r="E2" s="94" t="s">
        <v>105</v>
      </c>
      <c r="F2" s="94"/>
      <c r="H2" t="s">
        <v>130</v>
      </c>
      <c r="I2" t="s">
        <v>131</v>
      </c>
      <c r="M2" s="94" t="s">
        <v>133</v>
      </c>
      <c r="N2" s="94"/>
    </row>
    <row r="3" spans="1:19" ht="43.5" x14ac:dyDescent="0.35">
      <c r="A3" t="s">
        <v>99</v>
      </c>
      <c r="B3" t="s">
        <v>100</v>
      </c>
      <c r="C3" t="s">
        <v>57</v>
      </c>
      <c r="E3" s="45" t="s">
        <v>106</v>
      </c>
      <c r="F3" s="51" t="s">
        <v>107</v>
      </c>
      <c r="G3" s="46" t="s">
        <v>108</v>
      </c>
      <c r="H3" s="52" t="s">
        <v>109</v>
      </c>
      <c r="I3" s="52" t="s">
        <v>110</v>
      </c>
      <c r="J3" s="52" t="s">
        <v>111</v>
      </c>
      <c r="K3" s="52" t="s">
        <v>112</v>
      </c>
      <c r="M3" s="45" t="s">
        <v>106</v>
      </c>
      <c r="N3" s="51" t="s">
        <v>107</v>
      </c>
      <c r="O3" s="46" t="s">
        <v>108</v>
      </c>
      <c r="P3" s="52" t="s">
        <v>109</v>
      </c>
      <c r="Q3" s="52" t="s">
        <v>110</v>
      </c>
      <c r="R3" s="52" t="s">
        <v>111</v>
      </c>
      <c r="S3" s="52" t="s">
        <v>112</v>
      </c>
    </row>
    <row r="4" spans="1:19" x14ac:dyDescent="0.35">
      <c r="A4" t="s">
        <v>103</v>
      </c>
      <c r="C4" s="44">
        <v>15000000</v>
      </c>
      <c r="E4" s="67">
        <v>1</v>
      </c>
      <c r="F4" s="47" t="s">
        <v>113</v>
      </c>
      <c r="G4" s="47" t="s">
        <v>114</v>
      </c>
      <c r="H4" s="58">
        <v>-45</v>
      </c>
      <c r="I4" s="47" t="s">
        <v>115</v>
      </c>
      <c r="J4" s="55">
        <v>44348</v>
      </c>
      <c r="K4" s="56" t="s">
        <v>116</v>
      </c>
      <c r="M4" s="66">
        <v>1</v>
      </c>
      <c r="N4" s="47" t="s">
        <v>113</v>
      </c>
      <c r="O4" s="47" t="s">
        <v>114</v>
      </c>
      <c r="P4" s="68">
        <v>-45</v>
      </c>
      <c r="Q4" s="71" t="s">
        <v>115</v>
      </c>
      <c r="R4" s="71">
        <v>44715</v>
      </c>
      <c r="S4" s="56" t="s">
        <v>116</v>
      </c>
    </row>
    <row r="5" spans="1:19" x14ac:dyDescent="0.35">
      <c r="A5" t="s">
        <v>101</v>
      </c>
      <c r="C5" s="44">
        <v>14000000</v>
      </c>
      <c r="E5" s="67">
        <v>2</v>
      </c>
      <c r="F5" s="47" t="s">
        <v>117</v>
      </c>
      <c r="G5" s="47" t="s">
        <v>114</v>
      </c>
      <c r="H5" s="64">
        <v>-65</v>
      </c>
      <c r="I5" s="47" t="s">
        <v>118</v>
      </c>
      <c r="J5" s="48">
        <v>44349</v>
      </c>
      <c r="K5" s="47" t="s">
        <v>119</v>
      </c>
      <c r="M5" s="66">
        <v>2</v>
      </c>
      <c r="N5" s="47" t="s">
        <v>117</v>
      </c>
      <c r="O5" s="47" t="s">
        <v>114</v>
      </c>
      <c r="P5" s="68">
        <v>-88</v>
      </c>
      <c r="Q5" s="71" t="s">
        <v>118</v>
      </c>
      <c r="R5" s="71">
        <v>44349</v>
      </c>
      <c r="S5" s="47" t="s">
        <v>119</v>
      </c>
    </row>
    <row r="6" spans="1:19" x14ac:dyDescent="0.35">
      <c r="A6" t="s">
        <v>102</v>
      </c>
      <c r="C6" s="44">
        <v>12000000</v>
      </c>
      <c r="E6" s="67">
        <v>3</v>
      </c>
      <c r="F6" s="49" t="s">
        <v>120</v>
      </c>
      <c r="G6" s="49" t="s">
        <v>114</v>
      </c>
      <c r="H6" s="65">
        <v>75</v>
      </c>
      <c r="I6" s="49" t="s">
        <v>115</v>
      </c>
      <c r="J6" s="57">
        <v>44350</v>
      </c>
      <c r="K6" s="49" t="s">
        <v>121</v>
      </c>
      <c r="M6" s="66">
        <v>3</v>
      </c>
      <c r="N6" s="49" t="s">
        <v>120</v>
      </c>
      <c r="O6" s="49" t="s">
        <v>114</v>
      </c>
      <c r="P6" s="69">
        <v>75</v>
      </c>
      <c r="Q6" s="72" t="s">
        <v>115</v>
      </c>
      <c r="R6" s="72">
        <v>44350</v>
      </c>
      <c r="S6" s="49" t="s">
        <v>121</v>
      </c>
    </row>
    <row r="7" spans="1:19" x14ac:dyDescent="0.35">
      <c r="E7" s="67">
        <v>4</v>
      </c>
      <c r="F7" s="47" t="s">
        <v>122</v>
      </c>
      <c r="G7" s="47" t="s">
        <v>123</v>
      </c>
      <c r="H7" s="58">
        <v>0</v>
      </c>
      <c r="I7" s="47" t="s">
        <v>118</v>
      </c>
      <c r="J7" s="48">
        <v>44351</v>
      </c>
      <c r="K7" s="47" t="s">
        <v>116</v>
      </c>
      <c r="M7" s="66">
        <v>4</v>
      </c>
      <c r="N7" s="47" t="s">
        <v>122</v>
      </c>
      <c r="O7" s="47" t="s">
        <v>123</v>
      </c>
      <c r="P7" s="68">
        <v>0</v>
      </c>
      <c r="Q7" s="71" t="s">
        <v>118</v>
      </c>
      <c r="R7" s="71">
        <v>44351</v>
      </c>
      <c r="S7" s="47" t="s">
        <v>116</v>
      </c>
    </row>
    <row r="8" spans="1:19" x14ac:dyDescent="0.35">
      <c r="E8" s="67">
        <v>5</v>
      </c>
      <c r="F8" s="47" t="s">
        <v>124</v>
      </c>
      <c r="G8" s="47" t="s">
        <v>114</v>
      </c>
      <c r="H8" s="58">
        <v>57</v>
      </c>
      <c r="I8" s="61" t="s">
        <v>115</v>
      </c>
      <c r="J8" s="48">
        <v>44352</v>
      </c>
      <c r="K8" s="47" t="s">
        <v>125</v>
      </c>
      <c r="M8" s="66">
        <v>5</v>
      </c>
      <c r="N8" s="47" t="s">
        <v>124</v>
      </c>
      <c r="O8" s="47" t="s">
        <v>114</v>
      </c>
      <c r="P8" s="68">
        <v>57</v>
      </c>
      <c r="Q8" s="73" t="s">
        <v>115</v>
      </c>
      <c r="R8" s="71">
        <v>44352</v>
      </c>
      <c r="S8" s="47" t="s">
        <v>125</v>
      </c>
    </row>
    <row r="9" spans="1:19" ht="29" x14ac:dyDescent="0.35">
      <c r="E9" s="67">
        <v>6</v>
      </c>
      <c r="F9" s="59" t="s">
        <v>126</v>
      </c>
      <c r="G9" s="49" t="s">
        <v>123</v>
      </c>
      <c r="H9" s="65">
        <v>0</v>
      </c>
      <c r="I9" s="49" t="s">
        <v>115</v>
      </c>
      <c r="J9" s="50">
        <v>44353</v>
      </c>
      <c r="K9" s="49" t="s">
        <v>119</v>
      </c>
      <c r="M9" s="66">
        <v>6</v>
      </c>
      <c r="N9" s="59" t="s">
        <v>126</v>
      </c>
      <c r="O9" s="49" t="s">
        <v>123</v>
      </c>
      <c r="P9" s="69">
        <v>0</v>
      </c>
      <c r="Q9" s="60" t="s">
        <v>115</v>
      </c>
      <c r="R9" s="72">
        <v>44353</v>
      </c>
      <c r="S9" s="49" t="s">
        <v>119</v>
      </c>
    </row>
    <row r="10" spans="1:19" x14ac:dyDescent="0.35">
      <c r="E10" s="67">
        <v>7</v>
      </c>
      <c r="F10" s="47" t="s">
        <v>127</v>
      </c>
      <c r="G10" s="47" t="s">
        <v>123</v>
      </c>
      <c r="H10" s="63">
        <v>-58</v>
      </c>
      <c r="I10" s="47" t="s">
        <v>118</v>
      </c>
      <c r="J10" s="48">
        <v>44354</v>
      </c>
      <c r="K10" s="47" t="s">
        <v>116</v>
      </c>
      <c r="M10" s="66">
        <v>7</v>
      </c>
      <c r="N10" s="47" t="s">
        <v>127</v>
      </c>
      <c r="O10" s="47" t="s">
        <v>123</v>
      </c>
      <c r="P10" s="70">
        <v>-58</v>
      </c>
      <c r="Q10" s="71" t="s">
        <v>118</v>
      </c>
      <c r="R10" s="71">
        <v>44354</v>
      </c>
      <c r="S10" s="47" t="s">
        <v>116</v>
      </c>
    </row>
    <row r="11" spans="1:19" x14ac:dyDescent="0.35">
      <c r="E11" s="67">
        <v>8</v>
      </c>
      <c r="F11" s="49" t="s">
        <v>12</v>
      </c>
      <c r="G11" s="49" t="s">
        <v>123</v>
      </c>
      <c r="H11" s="62">
        <v>0</v>
      </c>
      <c r="I11" s="49" t="s">
        <v>128</v>
      </c>
      <c r="J11" s="50">
        <v>44378</v>
      </c>
      <c r="K11" s="49" t="s">
        <v>129</v>
      </c>
      <c r="M11" s="66">
        <v>8</v>
      </c>
      <c r="N11" s="49" t="s">
        <v>12</v>
      </c>
      <c r="O11" s="49" t="s">
        <v>123</v>
      </c>
      <c r="P11" s="69">
        <v>0</v>
      </c>
      <c r="Q11" s="72" t="s">
        <v>128</v>
      </c>
      <c r="R11" s="72">
        <v>44378</v>
      </c>
      <c r="S11" s="49" t="s">
        <v>129</v>
      </c>
    </row>
    <row r="12" spans="1:19" x14ac:dyDescent="0.35">
      <c r="E12" s="67">
        <v>9</v>
      </c>
      <c r="F12" s="47" t="s">
        <v>3</v>
      </c>
      <c r="G12" s="47" t="s">
        <v>123</v>
      </c>
      <c r="H12" s="63">
        <v>60</v>
      </c>
      <c r="I12" s="47" t="s">
        <v>118</v>
      </c>
      <c r="J12" s="48">
        <v>44379</v>
      </c>
      <c r="K12" s="47" t="s">
        <v>116</v>
      </c>
      <c r="M12" s="66">
        <v>9</v>
      </c>
      <c r="N12" s="47" t="s">
        <v>3</v>
      </c>
      <c r="O12" s="47" t="s">
        <v>123</v>
      </c>
      <c r="P12" s="70">
        <v>60</v>
      </c>
      <c r="Q12" s="71" t="s">
        <v>118</v>
      </c>
      <c r="R12" s="71">
        <v>44379</v>
      </c>
      <c r="S12" s="47" t="s">
        <v>116</v>
      </c>
    </row>
    <row r="13" spans="1:19" x14ac:dyDescent="0.35">
      <c r="E13" s="67">
        <v>10</v>
      </c>
      <c r="F13" s="47" t="s">
        <v>4</v>
      </c>
      <c r="G13" s="47" t="s">
        <v>114</v>
      </c>
      <c r="H13" s="58">
        <v>61</v>
      </c>
      <c r="I13" s="47" t="s">
        <v>128</v>
      </c>
      <c r="J13" s="48">
        <v>44380</v>
      </c>
      <c r="K13" s="47" t="s">
        <v>129</v>
      </c>
      <c r="M13" s="66">
        <v>10</v>
      </c>
      <c r="N13" s="47" t="s">
        <v>4</v>
      </c>
      <c r="O13" s="47" t="s">
        <v>114</v>
      </c>
      <c r="P13" s="68">
        <v>61</v>
      </c>
      <c r="Q13" s="71" t="s">
        <v>128</v>
      </c>
      <c r="R13" s="71">
        <v>44380</v>
      </c>
      <c r="S13" s="47" t="s">
        <v>129</v>
      </c>
    </row>
    <row r="14" spans="1:19" x14ac:dyDescent="0.35">
      <c r="E14" s="67">
        <v>11</v>
      </c>
      <c r="F14" s="49" t="s">
        <v>5</v>
      </c>
      <c r="G14" s="49" t="s">
        <v>114</v>
      </c>
      <c r="H14" s="62">
        <v>89</v>
      </c>
      <c r="I14" s="49" t="s">
        <v>128</v>
      </c>
      <c r="J14" s="50">
        <v>44381</v>
      </c>
      <c r="K14" s="49" t="s">
        <v>125</v>
      </c>
      <c r="M14" s="66">
        <v>11</v>
      </c>
      <c r="N14" s="49" t="s">
        <v>5</v>
      </c>
      <c r="O14" s="49" t="s">
        <v>114</v>
      </c>
      <c r="P14" s="69">
        <v>89</v>
      </c>
      <c r="Q14" s="72" t="s">
        <v>128</v>
      </c>
      <c r="R14" s="72">
        <v>44381</v>
      </c>
      <c r="S14" s="49" t="s">
        <v>125</v>
      </c>
    </row>
    <row r="15" spans="1:19" x14ac:dyDescent="0.35">
      <c r="E15" s="67">
        <v>12</v>
      </c>
      <c r="F15" s="49" t="s">
        <v>6</v>
      </c>
      <c r="G15" s="49" t="s">
        <v>123</v>
      </c>
      <c r="H15" s="62">
        <v>90</v>
      </c>
      <c r="I15" s="49" t="s">
        <v>128</v>
      </c>
      <c r="J15" s="50">
        <v>44382</v>
      </c>
      <c r="K15" s="49" t="s">
        <v>121</v>
      </c>
      <c r="M15" s="66">
        <v>12</v>
      </c>
      <c r="N15" s="49" t="s">
        <v>6</v>
      </c>
      <c r="O15" s="49" t="s">
        <v>123</v>
      </c>
      <c r="P15" s="69">
        <v>90</v>
      </c>
      <c r="Q15" s="72" t="s">
        <v>128</v>
      </c>
      <c r="R15" s="72">
        <v>44382</v>
      </c>
      <c r="S15" s="49" t="s">
        <v>121</v>
      </c>
    </row>
    <row r="16" spans="1:19" ht="29" x14ac:dyDescent="0.35">
      <c r="E16" s="67">
        <v>13</v>
      </c>
      <c r="F16" s="53" t="s">
        <v>7</v>
      </c>
      <c r="G16" s="49" t="s">
        <v>114</v>
      </c>
      <c r="H16" s="62">
        <v>0</v>
      </c>
      <c r="I16" s="49" t="s">
        <v>118</v>
      </c>
      <c r="J16" s="50">
        <v>44383</v>
      </c>
      <c r="K16" s="49" t="s">
        <v>119</v>
      </c>
      <c r="M16" s="66">
        <v>13</v>
      </c>
      <c r="N16" s="53" t="s">
        <v>7</v>
      </c>
      <c r="O16" s="49" t="s">
        <v>114</v>
      </c>
      <c r="P16" s="69">
        <v>0</v>
      </c>
      <c r="Q16" s="72" t="s">
        <v>118</v>
      </c>
      <c r="R16" s="72">
        <v>44383</v>
      </c>
      <c r="S16" s="49" t="s">
        <v>119</v>
      </c>
    </row>
    <row r="17" spans="5:20" x14ac:dyDescent="0.35">
      <c r="E17" s="67">
        <v>14</v>
      </c>
      <c r="F17" s="49" t="s">
        <v>8</v>
      </c>
      <c r="G17" s="49" t="s">
        <v>114</v>
      </c>
      <c r="H17" s="62">
        <v>79</v>
      </c>
      <c r="I17" s="49" t="s">
        <v>115</v>
      </c>
      <c r="J17" s="50">
        <v>44384</v>
      </c>
      <c r="K17" s="49" t="s">
        <v>129</v>
      </c>
      <c r="M17" s="66">
        <v>14</v>
      </c>
      <c r="N17" s="49" t="s">
        <v>8</v>
      </c>
      <c r="O17" s="49" t="s">
        <v>114</v>
      </c>
      <c r="P17" s="69">
        <v>79</v>
      </c>
      <c r="Q17" s="72" t="s">
        <v>115</v>
      </c>
      <c r="R17" s="72">
        <v>44384</v>
      </c>
      <c r="S17" s="49" t="s">
        <v>129</v>
      </c>
    </row>
    <row r="18" spans="5:20" x14ac:dyDescent="0.35">
      <c r="E18" s="67">
        <v>15</v>
      </c>
      <c r="F18" s="49" t="s">
        <v>9</v>
      </c>
      <c r="G18" s="49" t="s">
        <v>114</v>
      </c>
      <c r="H18" s="62">
        <v>0</v>
      </c>
      <c r="I18" s="49" t="s">
        <v>128</v>
      </c>
      <c r="J18" s="50">
        <v>44355</v>
      </c>
      <c r="K18" s="49" t="s">
        <v>121</v>
      </c>
      <c r="M18" s="66">
        <v>15</v>
      </c>
      <c r="N18" s="49" t="s">
        <v>9</v>
      </c>
      <c r="O18" s="49" t="s">
        <v>114</v>
      </c>
      <c r="P18" s="69">
        <v>0</v>
      </c>
      <c r="Q18" s="72" t="s">
        <v>128</v>
      </c>
      <c r="R18" s="72">
        <v>44355</v>
      </c>
      <c r="S18" s="49" t="s">
        <v>121</v>
      </c>
    </row>
    <row r="19" spans="5:20" x14ac:dyDescent="0.35">
      <c r="E19" s="67">
        <v>16</v>
      </c>
      <c r="F19" s="49" t="s">
        <v>10</v>
      </c>
      <c r="G19" s="49" t="s">
        <v>114</v>
      </c>
      <c r="H19" s="62">
        <v>82</v>
      </c>
      <c r="I19" s="49" t="s">
        <v>118</v>
      </c>
      <c r="J19" s="50">
        <v>44385</v>
      </c>
      <c r="K19" s="49" t="s">
        <v>119</v>
      </c>
      <c r="M19" s="66">
        <v>16</v>
      </c>
      <c r="N19" s="49" t="s">
        <v>10</v>
      </c>
      <c r="O19" s="49" t="s">
        <v>114</v>
      </c>
      <c r="P19" s="69">
        <v>82</v>
      </c>
      <c r="Q19" s="72" t="s">
        <v>118</v>
      </c>
      <c r="R19" s="72">
        <v>44385</v>
      </c>
      <c r="S19" s="49" t="s">
        <v>119</v>
      </c>
    </row>
    <row r="20" spans="5:20" x14ac:dyDescent="0.35">
      <c r="E20" s="67">
        <v>17</v>
      </c>
      <c r="F20" s="47" t="s">
        <v>11</v>
      </c>
      <c r="G20" s="47" t="s">
        <v>114</v>
      </c>
      <c r="H20" s="58">
        <v>75</v>
      </c>
      <c r="I20" s="47" t="s">
        <v>115</v>
      </c>
      <c r="J20" s="48">
        <v>44356</v>
      </c>
      <c r="K20" s="47" t="s">
        <v>121</v>
      </c>
    </row>
    <row r="22" spans="5:20" x14ac:dyDescent="0.35">
      <c r="L22" s="54"/>
      <c r="N22" s="74" t="s">
        <v>134</v>
      </c>
      <c r="O22" s="7" cm="1">
        <f t="array" aca="1" ref="O22" ca="1">O22:S220</f>
        <v>0</v>
      </c>
      <c r="P22" s="75" t="s">
        <v>135</v>
      </c>
      <c r="Q22" s="75" t="s">
        <v>136</v>
      </c>
      <c r="R22" s="75" t="s">
        <v>137</v>
      </c>
      <c r="S22" s="75" t="s">
        <v>138</v>
      </c>
      <c r="T22" s="75" t="s">
        <v>139</v>
      </c>
    </row>
    <row r="23" spans="5:20" x14ac:dyDescent="0.35">
      <c r="N23" s="7">
        <v>0.5</v>
      </c>
      <c r="O23" s="76">
        <v>0.5</v>
      </c>
      <c r="P23" s="77">
        <v>0.5</v>
      </c>
      <c r="Q23" s="78">
        <v>0.5</v>
      </c>
      <c r="R23" s="79">
        <v>0.5</v>
      </c>
      <c r="S23" s="80">
        <v>0.5</v>
      </c>
      <c r="T23" s="81">
        <v>0.5</v>
      </c>
    </row>
    <row r="24" spans="5:20" x14ac:dyDescent="0.35">
      <c r="N24" s="7">
        <v>5</v>
      </c>
      <c r="O24" s="76">
        <v>5</v>
      </c>
      <c r="P24" s="77">
        <v>5</v>
      </c>
      <c r="Q24" s="78">
        <v>5</v>
      </c>
      <c r="R24" s="79">
        <v>5</v>
      </c>
      <c r="S24" s="80">
        <v>5</v>
      </c>
      <c r="T24" s="81">
        <v>5</v>
      </c>
    </row>
    <row r="25" spans="5:20" x14ac:dyDescent="0.35">
      <c r="N25" s="7">
        <v>5.5</v>
      </c>
      <c r="O25" s="76">
        <v>5.5</v>
      </c>
      <c r="P25" s="77">
        <v>5.5</v>
      </c>
      <c r="Q25" s="78">
        <v>5.5</v>
      </c>
      <c r="R25" s="79">
        <v>5.5</v>
      </c>
      <c r="S25" s="80">
        <v>5.5</v>
      </c>
      <c r="T25" s="81">
        <v>5.5</v>
      </c>
    </row>
    <row r="26" spans="5:20" x14ac:dyDescent="0.35">
      <c r="N26" s="7">
        <v>5.55</v>
      </c>
      <c r="O26" s="76">
        <v>5.55</v>
      </c>
      <c r="P26" s="77">
        <v>5.55</v>
      </c>
      <c r="Q26" s="78">
        <v>5.55</v>
      </c>
      <c r="R26" s="79">
        <v>5.55</v>
      </c>
      <c r="S26" s="80">
        <v>5.55</v>
      </c>
      <c r="T26" s="81">
        <v>5.55</v>
      </c>
    </row>
    <row r="27" spans="5:20" x14ac:dyDescent="0.35">
      <c r="N27" s="7">
        <v>6</v>
      </c>
      <c r="O27" s="76">
        <v>6</v>
      </c>
      <c r="P27" s="77">
        <v>6</v>
      </c>
      <c r="Q27" s="78">
        <v>6</v>
      </c>
      <c r="R27" s="79">
        <v>6</v>
      </c>
      <c r="S27" s="80">
        <v>6</v>
      </c>
      <c r="T27" s="81">
        <v>6</v>
      </c>
    </row>
  </sheetData>
  <autoFilter ref="A3:C6" xr:uid="{F47CEE0C-486F-419D-AA31-C297A0396081}">
    <sortState xmlns:xlrd2="http://schemas.microsoft.com/office/spreadsheetml/2017/richdata2" ref="A4:C6">
      <sortCondition descending="1" ref="C3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DFA5-0BC9-4E6A-97BF-6D69EBB17A65}">
  <dimension ref="A1:T26"/>
  <sheetViews>
    <sheetView topLeftCell="E1" workbookViewId="0">
      <selection activeCell="K25" sqref="K25"/>
    </sheetView>
  </sheetViews>
  <sheetFormatPr defaultRowHeight="14.5" x14ac:dyDescent="0.35"/>
  <cols>
    <col min="7" max="7" width="14.36328125" customWidth="1"/>
    <col min="9" max="9" width="10.26953125" customWidth="1"/>
    <col min="10" max="10" width="5.26953125" customWidth="1"/>
    <col min="12" max="12" width="9.36328125" bestFit="1" customWidth="1"/>
    <col min="13" max="13" width="13.54296875" customWidth="1"/>
  </cols>
  <sheetData>
    <row r="1" spans="1:20" x14ac:dyDescent="0.35">
      <c r="A1" t="s">
        <v>140</v>
      </c>
      <c r="D1" s="94" t="s">
        <v>167</v>
      </c>
      <c r="I1" t="s">
        <v>164</v>
      </c>
      <c r="M1" s="94" t="s">
        <v>166</v>
      </c>
    </row>
    <row r="2" spans="1:20" ht="15" thickBot="1" x14ac:dyDescent="0.4">
      <c r="I2" s="94" t="s">
        <v>165</v>
      </c>
      <c r="J2" s="94"/>
      <c r="K2" s="94"/>
    </row>
    <row r="3" spans="1:20" ht="29" x14ac:dyDescent="0.35">
      <c r="A3" s="82" t="s">
        <v>106</v>
      </c>
      <c r="B3" s="83" t="s">
        <v>107</v>
      </c>
      <c r="C3" s="84" t="s">
        <v>108</v>
      </c>
      <c r="D3" s="85" t="s">
        <v>109</v>
      </c>
      <c r="E3" s="85" t="s">
        <v>110</v>
      </c>
      <c r="F3" s="84" t="s">
        <v>111</v>
      </c>
      <c r="G3" s="84" t="s">
        <v>112</v>
      </c>
      <c r="I3" s="7" t="s">
        <v>141</v>
      </c>
      <c r="J3" s="7" t="s">
        <v>142</v>
      </c>
      <c r="K3" s="7" t="s">
        <v>143</v>
      </c>
      <c r="L3" s="7" t="s">
        <v>144</v>
      </c>
      <c r="M3" s="7" t="s">
        <v>145</v>
      </c>
      <c r="O3" s="90"/>
      <c r="P3" s="90" t="s">
        <v>141</v>
      </c>
      <c r="Q3" s="90" t="s">
        <v>142</v>
      </c>
      <c r="R3" s="90" t="s">
        <v>143</v>
      </c>
      <c r="S3" s="90" t="s">
        <v>144</v>
      </c>
      <c r="T3" s="90" t="s">
        <v>145</v>
      </c>
    </row>
    <row r="4" spans="1:20" x14ac:dyDescent="0.35">
      <c r="A4" s="86">
        <v>1</v>
      </c>
      <c r="B4" s="86" t="s">
        <v>113</v>
      </c>
      <c r="C4" s="86" t="s">
        <v>114</v>
      </c>
      <c r="D4" s="86">
        <v>45</v>
      </c>
      <c r="E4" s="86" t="s">
        <v>115</v>
      </c>
      <c r="F4" s="87">
        <v>44348</v>
      </c>
      <c r="G4" s="86" t="s">
        <v>116</v>
      </c>
      <c r="I4" s="7">
        <v>673</v>
      </c>
      <c r="J4" s="7">
        <v>34</v>
      </c>
      <c r="K4" s="7">
        <v>2</v>
      </c>
      <c r="L4" s="7">
        <v>0</v>
      </c>
      <c r="M4" s="7">
        <v>101448.88</v>
      </c>
      <c r="O4" t="s">
        <v>141</v>
      </c>
      <c r="P4">
        <v>1</v>
      </c>
    </row>
    <row r="5" spans="1:20" x14ac:dyDescent="0.35">
      <c r="A5" s="86">
        <v>2</v>
      </c>
      <c r="B5" s="86" t="s">
        <v>117</v>
      </c>
      <c r="C5" s="86" t="s">
        <v>114</v>
      </c>
      <c r="D5" s="86">
        <v>65</v>
      </c>
      <c r="E5" s="86" t="s">
        <v>118</v>
      </c>
      <c r="F5" s="87">
        <v>44349</v>
      </c>
      <c r="G5" s="86" t="s">
        <v>119</v>
      </c>
      <c r="I5" s="7">
        <v>243</v>
      </c>
      <c r="J5" s="7">
        <v>45</v>
      </c>
      <c r="K5" s="7">
        <v>1</v>
      </c>
      <c r="L5" s="7">
        <v>83807.86</v>
      </c>
      <c r="M5" s="7">
        <v>115462.58</v>
      </c>
      <c r="O5" t="s">
        <v>142</v>
      </c>
      <c r="P5">
        <v>-0.13392707776016446</v>
      </c>
      <c r="Q5">
        <v>1</v>
      </c>
    </row>
    <row r="6" spans="1:20" x14ac:dyDescent="0.35">
      <c r="A6" s="88">
        <v>3</v>
      </c>
      <c r="B6" s="88" t="s">
        <v>120</v>
      </c>
      <c r="C6" s="88" t="s">
        <v>114</v>
      </c>
      <c r="D6" s="88">
        <v>75</v>
      </c>
      <c r="E6" s="88" t="s">
        <v>115</v>
      </c>
      <c r="F6" s="89">
        <v>44350</v>
      </c>
      <c r="G6" s="88" t="s">
        <v>121</v>
      </c>
      <c r="I6" s="7">
        <v>564</v>
      </c>
      <c r="J6" s="7">
        <v>46</v>
      </c>
      <c r="K6" s="7">
        <v>8</v>
      </c>
      <c r="L6" s="7">
        <v>64358.76</v>
      </c>
      <c r="M6" s="7">
        <v>1276.28</v>
      </c>
      <c r="O6" t="s">
        <v>143</v>
      </c>
      <c r="P6">
        <v>-0.11003802144490814</v>
      </c>
      <c r="Q6">
        <v>0.33290292858904968</v>
      </c>
      <c r="R6">
        <v>1</v>
      </c>
    </row>
    <row r="7" spans="1:20" x14ac:dyDescent="0.35">
      <c r="A7" s="86">
        <v>4</v>
      </c>
      <c r="B7" s="86" t="s">
        <v>122</v>
      </c>
      <c r="C7" s="86" t="s">
        <v>123</v>
      </c>
      <c r="D7" s="86">
        <v>85</v>
      </c>
      <c r="E7" s="86" t="s">
        <v>118</v>
      </c>
      <c r="F7" s="87">
        <v>44351</v>
      </c>
      <c r="G7" s="86" t="s">
        <v>116</v>
      </c>
      <c r="I7" s="7">
        <v>576</v>
      </c>
      <c r="J7" s="7">
        <v>36</v>
      </c>
      <c r="K7" s="7">
        <v>1</v>
      </c>
      <c r="L7" s="7">
        <v>0</v>
      </c>
      <c r="M7" s="7">
        <v>43489.98</v>
      </c>
      <c r="O7" t="s">
        <v>144</v>
      </c>
      <c r="P7">
        <v>0.22016734475575692</v>
      </c>
      <c r="Q7">
        <v>5.9801620211283588E-2</v>
      </c>
      <c r="R7">
        <v>-0.10848394048121733</v>
      </c>
      <c r="S7">
        <v>1</v>
      </c>
    </row>
    <row r="8" spans="1:20" ht="15" thickBot="1" x14ac:dyDescent="0.4">
      <c r="A8" s="86">
        <v>5</v>
      </c>
      <c r="B8" s="86" t="s">
        <v>124</v>
      </c>
      <c r="C8" s="86" t="s">
        <v>114</v>
      </c>
      <c r="D8" s="86">
        <v>57</v>
      </c>
      <c r="E8" s="86" t="s">
        <v>115</v>
      </c>
      <c r="F8" s="87">
        <v>44352</v>
      </c>
      <c r="G8" s="86" t="s">
        <v>125</v>
      </c>
      <c r="I8" s="7">
        <v>987</v>
      </c>
      <c r="J8" s="7">
        <v>26</v>
      </c>
      <c r="K8" s="7">
        <v>2</v>
      </c>
      <c r="L8" s="7">
        <v>125510.82</v>
      </c>
      <c r="M8" s="7">
        <v>1957503.68</v>
      </c>
      <c r="O8" s="13" t="s">
        <v>145</v>
      </c>
      <c r="P8" s="13">
        <v>1.1910145977590341E-2</v>
      </c>
      <c r="Q8" s="13">
        <v>-0.15431309138991411</v>
      </c>
      <c r="R8" s="13">
        <v>-2.9211803041952679E-2</v>
      </c>
      <c r="S8" s="13">
        <v>-0.35905178570475516</v>
      </c>
      <c r="T8" s="13">
        <v>1</v>
      </c>
    </row>
    <row r="9" spans="1:20" ht="15" thickBot="1" x14ac:dyDescent="0.4">
      <c r="A9" s="88">
        <v>6</v>
      </c>
      <c r="B9" s="88" t="s">
        <v>126</v>
      </c>
      <c r="C9" s="88" t="s">
        <v>123</v>
      </c>
      <c r="D9" s="88">
        <v>48</v>
      </c>
      <c r="E9" s="88" t="s">
        <v>115</v>
      </c>
      <c r="F9" s="89">
        <v>44353</v>
      </c>
      <c r="G9" s="88" t="s">
        <v>119</v>
      </c>
      <c r="I9" s="7">
        <v>456</v>
      </c>
      <c r="J9" s="7">
        <v>37</v>
      </c>
      <c r="K9" s="7">
        <v>8</v>
      </c>
      <c r="L9" s="7">
        <v>113755.78</v>
      </c>
      <c r="M9" s="7">
        <v>1791517.38</v>
      </c>
    </row>
    <row r="10" spans="1:20" x14ac:dyDescent="0.35">
      <c r="A10" s="86">
        <v>7</v>
      </c>
      <c r="B10" s="86" t="s">
        <v>127</v>
      </c>
      <c r="C10" s="86" t="s">
        <v>123</v>
      </c>
      <c r="D10" s="86">
        <v>58</v>
      </c>
      <c r="E10" s="86" t="s">
        <v>118</v>
      </c>
      <c r="F10" s="87">
        <v>44354</v>
      </c>
      <c r="G10" s="86" t="s">
        <v>116</v>
      </c>
      <c r="I10" s="7">
        <v>678</v>
      </c>
      <c r="J10" s="7">
        <v>39</v>
      </c>
      <c r="K10" s="7">
        <v>7</v>
      </c>
      <c r="L10" s="7">
        <v>0</v>
      </c>
      <c r="M10" s="7">
        <v>1831.08</v>
      </c>
      <c r="O10" s="90" t="s">
        <v>159</v>
      </c>
      <c r="P10" s="90" t="s">
        <v>145</v>
      </c>
      <c r="Q10" s="90" t="s">
        <v>160</v>
      </c>
      <c r="R10" s="90" t="s">
        <v>161</v>
      </c>
    </row>
    <row r="11" spans="1:20" x14ac:dyDescent="0.35">
      <c r="A11" s="88">
        <v>8</v>
      </c>
      <c r="B11" s="88" t="s">
        <v>12</v>
      </c>
      <c r="C11" s="88" t="s">
        <v>123</v>
      </c>
      <c r="D11" s="88">
        <v>66</v>
      </c>
      <c r="E11" s="88" t="s">
        <v>128</v>
      </c>
      <c r="F11" s="89">
        <v>44378</v>
      </c>
      <c r="G11" s="88" t="s">
        <v>129</v>
      </c>
      <c r="I11" s="7">
        <v>977</v>
      </c>
      <c r="J11" s="7">
        <v>45</v>
      </c>
      <c r="K11" s="7">
        <v>4</v>
      </c>
      <c r="L11" s="7">
        <v>114220.74</v>
      </c>
      <c r="M11" s="7">
        <v>199544.78</v>
      </c>
      <c r="O11">
        <v>11</v>
      </c>
      <c r="P11">
        <v>24154385.879999999</v>
      </c>
      <c r="Q11">
        <v>1</v>
      </c>
      <c r="R11" s="91">
        <v>1</v>
      </c>
    </row>
    <row r="12" spans="1:20" x14ac:dyDescent="0.35">
      <c r="A12" s="86">
        <v>9</v>
      </c>
      <c r="B12" s="86" t="s">
        <v>3</v>
      </c>
      <c r="C12" s="86" t="s">
        <v>123</v>
      </c>
      <c r="D12" s="86">
        <v>60</v>
      </c>
      <c r="E12" s="86" t="s">
        <v>118</v>
      </c>
      <c r="F12" s="87">
        <v>44379</v>
      </c>
      <c r="G12" s="86" t="s">
        <v>116</v>
      </c>
      <c r="I12" s="7">
        <v>535</v>
      </c>
      <c r="J12" s="7">
        <v>36</v>
      </c>
      <c r="K12" s="7">
        <v>2</v>
      </c>
      <c r="L12" s="7">
        <v>134603.88</v>
      </c>
      <c r="M12" s="7">
        <v>23558.48</v>
      </c>
      <c r="O12">
        <v>13</v>
      </c>
      <c r="P12">
        <v>21169613.280000001</v>
      </c>
      <c r="Q12">
        <v>2</v>
      </c>
      <c r="R12" s="91">
        <v>0.93300000000000005</v>
      </c>
    </row>
    <row r="13" spans="1:20" x14ac:dyDescent="0.35">
      <c r="A13" s="86">
        <v>10</v>
      </c>
      <c r="B13" s="86" t="s">
        <v>4</v>
      </c>
      <c r="C13" s="86" t="s">
        <v>114</v>
      </c>
      <c r="D13" s="86">
        <v>61</v>
      </c>
      <c r="E13" s="86" t="s">
        <v>128</v>
      </c>
      <c r="F13" s="87">
        <v>44380</v>
      </c>
      <c r="G13" s="86" t="s">
        <v>129</v>
      </c>
      <c r="I13" s="7">
        <v>565</v>
      </c>
      <c r="J13" s="7">
        <v>38</v>
      </c>
      <c r="K13" s="7">
        <v>6</v>
      </c>
      <c r="L13" s="7">
        <v>102016.72</v>
      </c>
      <c r="M13" s="7">
        <v>227572.18</v>
      </c>
      <c r="O13">
        <v>14</v>
      </c>
      <c r="P13">
        <v>2836126.98</v>
      </c>
      <c r="Q13">
        <v>3</v>
      </c>
      <c r="R13" s="91">
        <v>0.86599999999999999</v>
      </c>
    </row>
    <row r="14" spans="1:20" x14ac:dyDescent="0.35">
      <c r="A14" s="88">
        <v>11</v>
      </c>
      <c r="B14" s="88" t="s">
        <v>5</v>
      </c>
      <c r="C14" s="88" t="s">
        <v>114</v>
      </c>
      <c r="D14" s="88">
        <v>85</v>
      </c>
      <c r="E14" s="88" t="s">
        <v>128</v>
      </c>
      <c r="F14" s="89">
        <v>44381</v>
      </c>
      <c r="G14" s="88" t="s">
        <v>125</v>
      </c>
      <c r="I14" s="7">
        <v>678</v>
      </c>
      <c r="J14" s="7">
        <v>39</v>
      </c>
      <c r="K14" s="7">
        <v>3</v>
      </c>
      <c r="L14" s="7">
        <v>0</v>
      </c>
      <c r="M14" s="7">
        <v>24154385.879999999</v>
      </c>
      <c r="O14">
        <v>5</v>
      </c>
      <c r="P14">
        <v>1957503.68</v>
      </c>
      <c r="Q14">
        <v>4</v>
      </c>
      <c r="R14" s="91">
        <v>0.8</v>
      </c>
    </row>
    <row r="15" spans="1:20" x14ac:dyDescent="0.35">
      <c r="A15" s="88">
        <v>12</v>
      </c>
      <c r="B15" s="88" t="s">
        <v>6</v>
      </c>
      <c r="C15" s="88" t="s">
        <v>123</v>
      </c>
      <c r="D15" s="88">
        <v>90</v>
      </c>
      <c r="E15" s="88" t="s">
        <v>128</v>
      </c>
      <c r="F15" s="89">
        <v>44382</v>
      </c>
      <c r="G15" s="88" t="s">
        <v>121</v>
      </c>
      <c r="I15" s="7">
        <v>345</v>
      </c>
      <c r="J15" s="7">
        <v>56</v>
      </c>
      <c r="K15" s="7">
        <v>10</v>
      </c>
      <c r="L15" s="7">
        <v>0</v>
      </c>
      <c r="M15" s="7">
        <v>255599.58</v>
      </c>
      <c r="O15">
        <v>6</v>
      </c>
      <c r="P15">
        <v>1791517.38</v>
      </c>
      <c r="Q15">
        <v>5</v>
      </c>
      <c r="R15" s="91">
        <v>0.73299999999999998</v>
      </c>
    </row>
    <row r="16" spans="1:20" x14ac:dyDescent="0.35">
      <c r="A16" s="88">
        <v>13</v>
      </c>
      <c r="B16" s="88" t="s">
        <v>7</v>
      </c>
      <c r="C16" s="88" t="s">
        <v>114</v>
      </c>
      <c r="D16" s="88">
        <v>80</v>
      </c>
      <c r="E16" s="88" t="s">
        <v>118</v>
      </c>
      <c r="F16" s="89">
        <v>44383</v>
      </c>
      <c r="G16" s="88" t="s">
        <v>119</v>
      </c>
      <c r="I16" s="7">
        <v>356</v>
      </c>
      <c r="J16" s="7">
        <v>34</v>
      </c>
      <c r="K16" s="7">
        <v>5</v>
      </c>
      <c r="L16" s="7">
        <v>0</v>
      </c>
      <c r="M16" s="7">
        <v>21169613.280000001</v>
      </c>
      <c r="O16">
        <v>12</v>
      </c>
      <c r="P16">
        <v>255599.58</v>
      </c>
      <c r="Q16">
        <v>6</v>
      </c>
      <c r="R16" s="91">
        <v>0.66600000000000004</v>
      </c>
    </row>
    <row r="17" spans="1:18" x14ac:dyDescent="0.35">
      <c r="A17" s="88">
        <v>14</v>
      </c>
      <c r="B17" s="88" t="s">
        <v>8</v>
      </c>
      <c r="C17" s="88" t="s">
        <v>114</v>
      </c>
      <c r="D17" s="88">
        <v>79</v>
      </c>
      <c r="E17" s="88" t="s">
        <v>115</v>
      </c>
      <c r="F17" s="89">
        <v>44384</v>
      </c>
      <c r="G17" s="88" t="s">
        <v>129</v>
      </c>
      <c r="I17" s="7">
        <v>243</v>
      </c>
      <c r="J17" s="7">
        <v>24</v>
      </c>
      <c r="K17" s="7">
        <v>7</v>
      </c>
      <c r="L17" s="7">
        <v>14219.41</v>
      </c>
      <c r="M17" s="7">
        <v>2836126.98</v>
      </c>
      <c r="O17">
        <v>10</v>
      </c>
      <c r="P17">
        <v>227572.18</v>
      </c>
      <c r="Q17">
        <v>7</v>
      </c>
      <c r="R17" s="91">
        <v>0.6</v>
      </c>
    </row>
    <row r="18" spans="1:18" x14ac:dyDescent="0.35">
      <c r="A18" s="88">
        <v>15</v>
      </c>
      <c r="B18" s="88" t="s">
        <v>9</v>
      </c>
      <c r="C18" s="88" t="s">
        <v>114</v>
      </c>
      <c r="D18" s="88">
        <v>78</v>
      </c>
      <c r="E18" s="88" t="s">
        <v>128</v>
      </c>
      <c r="F18" s="89">
        <v>44355</v>
      </c>
      <c r="G18" s="88" t="s">
        <v>121</v>
      </c>
      <c r="I18" s="7">
        <v>232</v>
      </c>
      <c r="J18" s="7">
        <v>45</v>
      </c>
      <c r="K18" s="7">
        <v>3</v>
      </c>
      <c r="L18" s="7">
        <v>132602.88</v>
      </c>
      <c r="M18" s="7">
        <v>2940.68</v>
      </c>
      <c r="O18">
        <v>8</v>
      </c>
      <c r="P18">
        <v>199544.78</v>
      </c>
      <c r="Q18">
        <v>8</v>
      </c>
      <c r="R18" s="91">
        <v>0.53300000000000003</v>
      </c>
    </row>
    <row r="19" spans="1:18" x14ac:dyDescent="0.35">
      <c r="I19" s="7">
        <v>232</v>
      </c>
      <c r="J19" s="7">
        <v>34</v>
      </c>
      <c r="K19" s="7">
        <v>1</v>
      </c>
      <c r="L19" s="7">
        <v>0</v>
      </c>
      <c r="M19" s="7">
        <v>11654.38</v>
      </c>
      <c r="O19">
        <v>2</v>
      </c>
      <c r="P19">
        <v>115462.58</v>
      </c>
      <c r="Q19">
        <v>9</v>
      </c>
      <c r="R19" s="91">
        <v>0.46600000000000003</v>
      </c>
    </row>
    <row r="20" spans="1:18" x14ac:dyDescent="0.35">
      <c r="O20">
        <v>1</v>
      </c>
      <c r="P20">
        <v>101448.88</v>
      </c>
      <c r="Q20">
        <v>10</v>
      </c>
      <c r="R20" s="91">
        <v>0.4</v>
      </c>
    </row>
    <row r="21" spans="1:18" x14ac:dyDescent="0.35">
      <c r="K21" t="s">
        <v>162</v>
      </c>
      <c r="O21">
        <v>4</v>
      </c>
      <c r="P21">
        <v>43489.98</v>
      </c>
      <c r="Q21">
        <v>11</v>
      </c>
      <c r="R21" s="91">
        <v>0.33300000000000002</v>
      </c>
    </row>
    <row r="22" spans="1:18" x14ac:dyDescent="0.35">
      <c r="G22" s="108" t="s">
        <v>163</v>
      </c>
      <c r="H22" s="108"/>
      <c r="I22" s="108"/>
      <c r="J22" s="108"/>
      <c r="K22" s="108"/>
      <c r="L22" s="108"/>
      <c r="M22" s="108"/>
      <c r="N22" s="108"/>
      <c r="O22">
        <v>9</v>
      </c>
      <c r="P22">
        <v>23558.48</v>
      </c>
      <c r="Q22">
        <v>12</v>
      </c>
      <c r="R22" s="91">
        <v>0.26600000000000001</v>
      </c>
    </row>
    <row r="23" spans="1:18" x14ac:dyDescent="0.35">
      <c r="O23">
        <v>16</v>
      </c>
      <c r="P23">
        <v>11654.38</v>
      </c>
      <c r="Q23">
        <v>13</v>
      </c>
      <c r="R23" s="91">
        <v>0.2</v>
      </c>
    </row>
    <row r="24" spans="1:18" x14ac:dyDescent="0.35">
      <c r="O24">
        <v>15</v>
      </c>
      <c r="P24">
        <v>2940.68</v>
      </c>
      <c r="Q24">
        <v>14</v>
      </c>
      <c r="R24" s="91">
        <v>0.13300000000000001</v>
      </c>
    </row>
    <row r="25" spans="1:18" x14ac:dyDescent="0.35">
      <c r="O25">
        <v>7</v>
      </c>
      <c r="P25">
        <v>1831.08</v>
      </c>
      <c r="Q25">
        <v>15</v>
      </c>
      <c r="R25" s="91">
        <v>6.6000000000000003E-2</v>
      </c>
    </row>
    <row r="26" spans="1:18" ht="15" thickBot="1" x14ac:dyDescent="0.4">
      <c r="O26" s="13">
        <v>3</v>
      </c>
      <c r="P26" s="13">
        <v>1276.28</v>
      </c>
      <c r="Q26" s="13">
        <v>16</v>
      </c>
      <c r="R26" s="92">
        <v>0</v>
      </c>
    </row>
  </sheetData>
  <dataConsolidate/>
  <mergeCells count="1">
    <mergeCell ref="G22:N22"/>
  </mergeCells>
  <conditionalFormatting sqref="D4:D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{CA4E33A0-EC6F-42E8-9A3C-122B5EDB69D6}</x14:id>
        </ext>
      </extLst>
    </cfRule>
    <cfRule type="top10" dxfId="0" priority="2" rank="5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4E33A0-EC6F-42E8-9A3C-122B5EDB6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CF3F-15A4-4E6E-B754-6D70FDD6FCB4}">
  <dimension ref="A1:J19"/>
  <sheetViews>
    <sheetView workbookViewId="0">
      <selection activeCell="J19" sqref="J19"/>
    </sheetView>
  </sheetViews>
  <sheetFormatPr defaultRowHeight="14.5" x14ac:dyDescent="0.35"/>
  <cols>
    <col min="1" max="10" width="16.54296875" customWidth="1"/>
  </cols>
  <sheetData>
    <row r="1" spans="1:10" x14ac:dyDescent="0.35">
      <c r="A1" s="90" t="s">
        <v>141</v>
      </c>
      <c r="B1" s="90"/>
      <c r="C1" s="90" t="s">
        <v>142</v>
      </c>
      <c r="D1" s="90"/>
      <c r="E1" s="90" t="s">
        <v>143</v>
      </c>
      <c r="F1" s="90"/>
      <c r="G1" s="90" t="s">
        <v>144</v>
      </c>
      <c r="H1" s="90"/>
      <c r="I1" s="90" t="s">
        <v>145</v>
      </c>
      <c r="J1" s="90"/>
    </row>
    <row r="3" spans="1:10" x14ac:dyDescent="0.35">
      <c r="A3" t="s">
        <v>146</v>
      </c>
      <c r="B3">
        <v>521.25</v>
      </c>
      <c r="C3" t="s">
        <v>146</v>
      </c>
      <c r="D3">
        <v>38.375</v>
      </c>
      <c r="E3" t="s">
        <v>146</v>
      </c>
      <c r="F3">
        <v>4.375</v>
      </c>
      <c r="G3" t="s">
        <v>146</v>
      </c>
      <c r="H3">
        <v>55318.553124999999</v>
      </c>
      <c r="I3" t="s">
        <v>146</v>
      </c>
      <c r="J3">
        <v>3305845.38</v>
      </c>
    </row>
    <row r="4" spans="1:10" x14ac:dyDescent="0.35">
      <c r="A4" t="s">
        <v>147</v>
      </c>
      <c r="B4">
        <v>60.845946181045342</v>
      </c>
      <c r="C4" t="s">
        <v>147</v>
      </c>
      <c r="D4">
        <v>1.9703531832305259</v>
      </c>
      <c r="E4" t="s">
        <v>147</v>
      </c>
      <c r="F4">
        <v>0.7352720584926371</v>
      </c>
      <c r="G4" t="s">
        <v>147</v>
      </c>
      <c r="H4">
        <v>14470.45585139277</v>
      </c>
      <c r="I4" t="s">
        <v>147</v>
      </c>
      <c r="J4">
        <v>1906127.3938128231</v>
      </c>
    </row>
    <row r="5" spans="1:10" x14ac:dyDescent="0.35">
      <c r="A5" t="s">
        <v>148</v>
      </c>
      <c r="B5">
        <v>549.5</v>
      </c>
      <c r="C5" t="s">
        <v>148</v>
      </c>
      <c r="D5">
        <v>37.5</v>
      </c>
      <c r="E5" t="s">
        <v>148</v>
      </c>
      <c r="F5">
        <v>3.5</v>
      </c>
      <c r="G5" t="s">
        <v>148</v>
      </c>
      <c r="H5">
        <v>39289.085000000006</v>
      </c>
      <c r="I5" t="s">
        <v>148</v>
      </c>
      <c r="J5">
        <v>157503.67999999999</v>
      </c>
    </row>
    <row r="6" spans="1:10" x14ac:dyDescent="0.35">
      <c r="A6" t="s">
        <v>149</v>
      </c>
      <c r="B6">
        <v>243</v>
      </c>
      <c r="C6" t="s">
        <v>149</v>
      </c>
      <c r="D6">
        <v>34</v>
      </c>
      <c r="E6" t="s">
        <v>149</v>
      </c>
      <c r="F6">
        <v>2</v>
      </c>
      <c r="G6" t="s">
        <v>149</v>
      </c>
      <c r="H6">
        <v>0</v>
      </c>
      <c r="I6" t="s">
        <v>149</v>
      </c>
      <c r="J6" t="e">
        <v>#N/A</v>
      </c>
    </row>
    <row r="7" spans="1:10" x14ac:dyDescent="0.35">
      <c r="A7" t="s">
        <v>150</v>
      </c>
      <c r="B7">
        <v>243.38378472418137</v>
      </c>
      <c r="C7" t="s">
        <v>150</v>
      </c>
      <c r="D7">
        <v>7.8814127329221035</v>
      </c>
      <c r="E7" t="s">
        <v>150</v>
      </c>
      <c r="F7">
        <v>2.9410882339705484</v>
      </c>
      <c r="G7" t="s">
        <v>150</v>
      </c>
      <c r="H7">
        <v>57881.823405571078</v>
      </c>
      <c r="I7" t="s">
        <v>150</v>
      </c>
      <c r="J7">
        <v>7624509.5752512924</v>
      </c>
    </row>
    <row r="8" spans="1:10" x14ac:dyDescent="0.35">
      <c r="A8" t="s">
        <v>151</v>
      </c>
      <c r="B8">
        <v>59235.666666666664</v>
      </c>
      <c r="C8" t="s">
        <v>151</v>
      </c>
      <c r="D8">
        <v>62.116666666666667</v>
      </c>
      <c r="E8" t="s">
        <v>151</v>
      </c>
      <c r="F8">
        <v>8.65</v>
      </c>
      <c r="G8" t="s">
        <v>151</v>
      </c>
      <c r="H8">
        <v>3350305480.7537155</v>
      </c>
      <c r="I8" t="s">
        <v>151</v>
      </c>
      <c r="J8">
        <v>58133146263098.641</v>
      </c>
    </row>
    <row r="9" spans="1:10" x14ac:dyDescent="0.35">
      <c r="A9" t="s">
        <v>152</v>
      </c>
      <c r="B9">
        <v>-0.31079803097234304</v>
      </c>
      <c r="C9" t="s">
        <v>152</v>
      </c>
      <c r="D9">
        <v>0.75779897017806785</v>
      </c>
      <c r="E9" t="s">
        <v>152</v>
      </c>
      <c r="F9">
        <v>-1.1249187178887463</v>
      </c>
      <c r="G9" t="s">
        <v>152</v>
      </c>
      <c r="H9">
        <v>-1.9602255800804609</v>
      </c>
      <c r="I9" t="s">
        <v>152</v>
      </c>
      <c r="J9">
        <v>4.898696003072085</v>
      </c>
    </row>
    <row r="10" spans="1:10" x14ac:dyDescent="0.35">
      <c r="A10" t="s">
        <v>153</v>
      </c>
      <c r="B10">
        <v>0.55737870863957784</v>
      </c>
      <c r="C10" t="s">
        <v>153</v>
      </c>
      <c r="D10">
        <v>0.25599876830910367</v>
      </c>
      <c r="E10" t="s">
        <v>153</v>
      </c>
      <c r="F10">
        <v>0.45877511771267027</v>
      </c>
      <c r="G10" t="s">
        <v>153</v>
      </c>
      <c r="H10">
        <v>0.22829328416852551</v>
      </c>
      <c r="I10" t="s">
        <v>153</v>
      </c>
      <c r="J10">
        <v>2.4735272122162351</v>
      </c>
    </row>
    <row r="11" spans="1:10" x14ac:dyDescent="0.35">
      <c r="A11" t="s">
        <v>154</v>
      </c>
      <c r="B11">
        <v>755</v>
      </c>
      <c r="C11" t="s">
        <v>154</v>
      </c>
      <c r="D11">
        <v>32</v>
      </c>
      <c r="E11" t="s">
        <v>154</v>
      </c>
      <c r="F11">
        <v>9</v>
      </c>
      <c r="G11" t="s">
        <v>154</v>
      </c>
      <c r="H11">
        <v>134603.88</v>
      </c>
      <c r="I11" t="s">
        <v>154</v>
      </c>
      <c r="J11">
        <v>24153109.599999998</v>
      </c>
    </row>
    <row r="12" spans="1:10" x14ac:dyDescent="0.35">
      <c r="A12" t="s">
        <v>155</v>
      </c>
      <c r="B12">
        <v>232</v>
      </c>
      <c r="C12" t="s">
        <v>155</v>
      </c>
      <c r="D12">
        <v>24</v>
      </c>
      <c r="E12" t="s">
        <v>155</v>
      </c>
      <c r="F12">
        <v>1</v>
      </c>
      <c r="G12" t="s">
        <v>155</v>
      </c>
      <c r="H12">
        <v>0</v>
      </c>
      <c r="I12" t="s">
        <v>155</v>
      </c>
      <c r="J12">
        <v>1276.28</v>
      </c>
    </row>
    <row r="13" spans="1:10" x14ac:dyDescent="0.35">
      <c r="A13" t="s">
        <v>156</v>
      </c>
      <c r="B13">
        <v>987</v>
      </c>
      <c r="C13" t="s">
        <v>156</v>
      </c>
      <c r="D13">
        <v>56</v>
      </c>
      <c r="E13" t="s">
        <v>156</v>
      </c>
      <c r="F13">
        <v>10</v>
      </c>
      <c r="G13" t="s">
        <v>156</v>
      </c>
      <c r="H13">
        <v>134603.88</v>
      </c>
      <c r="I13" t="s">
        <v>156</v>
      </c>
      <c r="J13">
        <v>24154385.879999999</v>
      </c>
    </row>
    <row r="14" spans="1:10" x14ac:dyDescent="0.35">
      <c r="A14" t="s">
        <v>157</v>
      </c>
      <c r="B14">
        <v>8340</v>
      </c>
      <c r="C14" t="s">
        <v>157</v>
      </c>
      <c r="D14">
        <v>614</v>
      </c>
      <c r="E14" t="s">
        <v>157</v>
      </c>
      <c r="F14">
        <v>70</v>
      </c>
      <c r="G14" t="s">
        <v>157</v>
      </c>
      <c r="H14">
        <v>885096.85</v>
      </c>
      <c r="I14" t="s">
        <v>157</v>
      </c>
      <c r="J14">
        <v>52893526.079999998</v>
      </c>
    </row>
    <row r="15" spans="1:10" ht="15" thickBot="1" x14ac:dyDescent="0.4">
      <c r="A15" s="13" t="s">
        <v>158</v>
      </c>
      <c r="B15" s="13">
        <v>16</v>
      </c>
      <c r="C15" s="13" t="s">
        <v>158</v>
      </c>
      <c r="D15" s="13">
        <v>16</v>
      </c>
      <c r="E15" s="13" t="s">
        <v>158</v>
      </c>
      <c r="F15" s="13">
        <v>16</v>
      </c>
      <c r="G15" s="13" t="s">
        <v>158</v>
      </c>
      <c r="H15" s="13">
        <v>16</v>
      </c>
      <c r="I15" s="13" t="s">
        <v>158</v>
      </c>
      <c r="J15" s="13">
        <v>16</v>
      </c>
    </row>
    <row r="19" spans="10:10" x14ac:dyDescent="0.35">
      <c r="J19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F3FA-810D-4536-A80E-D21135D96442}">
  <dimension ref="A3:D18"/>
  <sheetViews>
    <sheetView workbookViewId="0">
      <selection activeCell="B5" sqref="B5"/>
    </sheetView>
  </sheetViews>
  <sheetFormatPr defaultRowHeight="14.5" x14ac:dyDescent="0.35"/>
  <cols>
    <col min="1" max="1" width="18.08984375" bestFit="1" customWidth="1"/>
    <col min="2" max="2" width="15.26953125" bestFit="1" customWidth="1"/>
    <col min="3" max="3" width="5" bestFit="1" customWidth="1"/>
    <col min="4" max="4" width="10.7265625" bestFit="1" customWidth="1"/>
    <col min="6" max="6" width="17.1796875" bestFit="1" customWidth="1"/>
    <col min="7" max="7" width="15.26953125" bestFit="1" customWidth="1"/>
    <col min="8" max="8" width="10.7265625" bestFit="1" customWidth="1"/>
    <col min="9" max="9" width="4.7265625" bestFit="1" customWidth="1"/>
    <col min="10" max="10" width="10.7265625" bestFit="1" customWidth="1"/>
  </cols>
  <sheetData>
    <row r="3" spans="1:4" x14ac:dyDescent="0.35">
      <c r="A3" s="96" t="s">
        <v>171</v>
      </c>
      <c r="B3" s="96" t="s">
        <v>173</v>
      </c>
    </row>
    <row r="4" spans="1:4" x14ac:dyDescent="0.35">
      <c r="A4" s="96" t="s">
        <v>170</v>
      </c>
      <c r="B4" t="s">
        <v>114</v>
      </c>
      <c r="C4" t="s">
        <v>123</v>
      </c>
      <c r="D4" t="s">
        <v>172</v>
      </c>
    </row>
    <row r="5" spans="1:4" x14ac:dyDescent="0.35">
      <c r="A5" s="97" t="s">
        <v>115</v>
      </c>
      <c r="B5">
        <v>331</v>
      </c>
      <c r="C5">
        <v>48</v>
      </c>
      <c r="D5">
        <v>379</v>
      </c>
    </row>
    <row r="6" spans="1:4" x14ac:dyDescent="0.35">
      <c r="A6" s="98" t="s">
        <v>116</v>
      </c>
      <c r="B6">
        <v>45</v>
      </c>
      <c r="D6">
        <v>45</v>
      </c>
    </row>
    <row r="7" spans="1:4" x14ac:dyDescent="0.35">
      <c r="A7" s="98" t="s">
        <v>121</v>
      </c>
      <c r="B7">
        <v>150</v>
      </c>
      <c r="D7">
        <v>150</v>
      </c>
    </row>
    <row r="8" spans="1:4" x14ac:dyDescent="0.35">
      <c r="A8" s="98" t="s">
        <v>125</v>
      </c>
      <c r="B8">
        <v>57</v>
      </c>
      <c r="D8">
        <v>57</v>
      </c>
    </row>
    <row r="9" spans="1:4" x14ac:dyDescent="0.35">
      <c r="A9" s="98" t="s">
        <v>119</v>
      </c>
      <c r="C9">
        <v>48</v>
      </c>
      <c r="D9">
        <v>48</v>
      </c>
    </row>
    <row r="10" spans="1:4" x14ac:dyDescent="0.35">
      <c r="A10" s="98" t="s">
        <v>129</v>
      </c>
      <c r="B10">
        <v>79</v>
      </c>
      <c r="D10">
        <v>79</v>
      </c>
    </row>
    <row r="11" spans="1:4" x14ac:dyDescent="0.35">
      <c r="A11" s="97" t="s">
        <v>118</v>
      </c>
      <c r="B11">
        <v>227</v>
      </c>
      <c r="C11">
        <v>203</v>
      </c>
      <c r="D11">
        <v>430</v>
      </c>
    </row>
    <row r="12" spans="1:4" x14ac:dyDescent="0.35">
      <c r="A12" s="98" t="s">
        <v>116</v>
      </c>
      <c r="C12">
        <v>203</v>
      </c>
      <c r="D12">
        <v>203</v>
      </c>
    </row>
    <row r="13" spans="1:4" x14ac:dyDescent="0.35">
      <c r="A13" s="98" t="s">
        <v>119</v>
      </c>
      <c r="B13">
        <v>227</v>
      </c>
      <c r="D13">
        <v>227</v>
      </c>
    </row>
    <row r="14" spans="1:4" x14ac:dyDescent="0.35">
      <c r="A14" s="97" t="s">
        <v>128</v>
      </c>
      <c r="B14">
        <v>224</v>
      </c>
      <c r="C14">
        <v>156</v>
      </c>
      <c r="D14">
        <v>380</v>
      </c>
    </row>
    <row r="15" spans="1:4" x14ac:dyDescent="0.35">
      <c r="A15" s="98" t="s">
        <v>121</v>
      </c>
      <c r="B15">
        <v>78</v>
      </c>
      <c r="C15">
        <v>90</v>
      </c>
      <c r="D15">
        <v>168</v>
      </c>
    </row>
    <row r="16" spans="1:4" x14ac:dyDescent="0.35">
      <c r="A16" s="98" t="s">
        <v>125</v>
      </c>
      <c r="B16">
        <v>85</v>
      </c>
      <c r="D16">
        <v>85</v>
      </c>
    </row>
    <row r="17" spans="1:4" x14ac:dyDescent="0.35">
      <c r="A17" s="98" t="s">
        <v>129</v>
      </c>
      <c r="B17">
        <v>61</v>
      </c>
      <c r="C17">
        <v>66</v>
      </c>
      <c r="D17">
        <v>127</v>
      </c>
    </row>
    <row r="18" spans="1:4" x14ac:dyDescent="0.35">
      <c r="A18" s="97" t="s">
        <v>172</v>
      </c>
      <c r="B18">
        <v>782</v>
      </c>
      <c r="C18">
        <v>407</v>
      </c>
      <c r="D18">
        <v>1189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BA61-8FBB-42DA-A890-76769A8968A5}">
  <dimension ref="A1:G20"/>
  <sheetViews>
    <sheetView workbookViewId="0">
      <selection activeCell="I7" sqref="I7"/>
    </sheetView>
  </sheetViews>
  <sheetFormatPr defaultRowHeight="14.5" x14ac:dyDescent="0.35"/>
  <cols>
    <col min="1" max="8" width="14" customWidth="1"/>
  </cols>
  <sheetData>
    <row r="1" spans="1:7" x14ac:dyDescent="0.35">
      <c r="A1" t="s">
        <v>168</v>
      </c>
      <c r="C1" s="94" t="s">
        <v>169</v>
      </c>
    </row>
    <row r="3" spans="1:7" ht="29" x14ac:dyDescent="0.35">
      <c r="A3" s="82" t="s">
        <v>106</v>
      </c>
      <c r="B3" s="82" t="s">
        <v>107</v>
      </c>
      <c r="C3" s="84" t="s">
        <v>108</v>
      </c>
      <c r="D3" s="84" t="s">
        <v>109</v>
      </c>
      <c r="E3" s="84" t="s">
        <v>110</v>
      </c>
      <c r="F3" s="95" t="s">
        <v>111</v>
      </c>
      <c r="G3" s="84" t="s">
        <v>112</v>
      </c>
    </row>
    <row r="4" spans="1:7" x14ac:dyDescent="0.35">
      <c r="A4" s="86">
        <v>1</v>
      </c>
      <c r="B4" s="86" t="s">
        <v>113</v>
      </c>
      <c r="C4" s="86" t="s">
        <v>114</v>
      </c>
      <c r="D4" s="86">
        <v>45</v>
      </c>
      <c r="E4" s="86" t="s">
        <v>115</v>
      </c>
      <c r="F4" s="87">
        <v>44348</v>
      </c>
      <c r="G4" s="86" t="s">
        <v>116</v>
      </c>
    </row>
    <row r="5" spans="1:7" x14ac:dyDescent="0.35">
      <c r="A5" s="86">
        <v>2</v>
      </c>
      <c r="B5" s="86" t="s">
        <v>117</v>
      </c>
      <c r="C5" s="86" t="s">
        <v>114</v>
      </c>
      <c r="D5" s="86">
        <v>65</v>
      </c>
      <c r="E5" s="86" t="s">
        <v>118</v>
      </c>
      <c r="F5" s="87">
        <v>44349</v>
      </c>
      <c r="G5" s="86" t="s">
        <v>119</v>
      </c>
    </row>
    <row r="6" spans="1:7" x14ac:dyDescent="0.35">
      <c r="A6" s="88">
        <v>3</v>
      </c>
      <c r="B6" s="88" t="s">
        <v>120</v>
      </c>
      <c r="C6" s="88" t="s">
        <v>114</v>
      </c>
      <c r="D6" s="88">
        <v>75</v>
      </c>
      <c r="E6" s="88" t="s">
        <v>115</v>
      </c>
      <c r="F6" s="89">
        <v>44350</v>
      </c>
      <c r="G6" s="88" t="s">
        <v>121</v>
      </c>
    </row>
    <row r="7" spans="1:7" x14ac:dyDescent="0.35">
      <c r="A7" s="86">
        <v>4</v>
      </c>
      <c r="B7" s="86" t="s">
        <v>122</v>
      </c>
      <c r="C7" s="86" t="s">
        <v>123</v>
      </c>
      <c r="D7" s="86">
        <v>85</v>
      </c>
      <c r="E7" s="86" t="s">
        <v>118</v>
      </c>
      <c r="F7" s="87">
        <v>44351</v>
      </c>
      <c r="G7" s="86" t="s">
        <v>116</v>
      </c>
    </row>
    <row r="8" spans="1:7" x14ac:dyDescent="0.35">
      <c r="A8" s="86">
        <v>5</v>
      </c>
      <c r="B8" s="86" t="s">
        <v>124</v>
      </c>
      <c r="C8" s="86" t="s">
        <v>114</v>
      </c>
      <c r="D8" s="86">
        <v>57</v>
      </c>
      <c r="E8" s="86" t="s">
        <v>115</v>
      </c>
      <c r="F8" s="87">
        <v>44352</v>
      </c>
      <c r="G8" s="86" t="s">
        <v>125</v>
      </c>
    </row>
    <row r="9" spans="1:7" x14ac:dyDescent="0.35">
      <c r="A9" s="88">
        <v>6</v>
      </c>
      <c r="B9" s="88" t="s">
        <v>126</v>
      </c>
      <c r="C9" s="88" t="s">
        <v>123</v>
      </c>
      <c r="D9" s="88">
        <v>48</v>
      </c>
      <c r="E9" s="88" t="s">
        <v>115</v>
      </c>
      <c r="F9" s="89">
        <v>44353</v>
      </c>
      <c r="G9" s="88" t="s">
        <v>119</v>
      </c>
    </row>
    <row r="10" spans="1:7" x14ac:dyDescent="0.35">
      <c r="A10" s="86">
        <v>7</v>
      </c>
      <c r="B10" s="86" t="s">
        <v>127</v>
      </c>
      <c r="C10" s="86" t="s">
        <v>123</v>
      </c>
      <c r="D10" s="86">
        <v>58</v>
      </c>
      <c r="E10" s="86" t="s">
        <v>118</v>
      </c>
      <c r="F10" s="87">
        <v>44354</v>
      </c>
      <c r="G10" s="86" t="s">
        <v>116</v>
      </c>
    </row>
    <row r="11" spans="1:7" x14ac:dyDescent="0.35">
      <c r="A11" s="88">
        <v>8</v>
      </c>
      <c r="B11" s="88" t="s">
        <v>12</v>
      </c>
      <c r="C11" s="88" t="s">
        <v>123</v>
      </c>
      <c r="D11" s="88">
        <v>66</v>
      </c>
      <c r="E11" s="88" t="s">
        <v>128</v>
      </c>
      <c r="F11" s="89">
        <v>44378</v>
      </c>
      <c r="G11" s="88" t="s">
        <v>129</v>
      </c>
    </row>
    <row r="12" spans="1:7" x14ac:dyDescent="0.35">
      <c r="A12" s="86">
        <v>9</v>
      </c>
      <c r="B12" s="86" t="s">
        <v>3</v>
      </c>
      <c r="C12" s="86" t="s">
        <v>123</v>
      </c>
      <c r="D12" s="86">
        <v>60</v>
      </c>
      <c r="E12" s="86" t="s">
        <v>118</v>
      </c>
      <c r="F12" s="87">
        <v>44379</v>
      </c>
      <c r="G12" s="86" t="s">
        <v>116</v>
      </c>
    </row>
    <row r="13" spans="1:7" x14ac:dyDescent="0.35">
      <c r="A13" s="86">
        <v>10</v>
      </c>
      <c r="B13" s="86" t="s">
        <v>4</v>
      </c>
      <c r="C13" s="86" t="s">
        <v>114</v>
      </c>
      <c r="D13" s="86">
        <v>61</v>
      </c>
      <c r="E13" s="86" t="s">
        <v>128</v>
      </c>
      <c r="F13" s="87">
        <v>44380</v>
      </c>
      <c r="G13" s="86" t="s">
        <v>129</v>
      </c>
    </row>
    <row r="14" spans="1:7" x14ac:dyDescent="0.35">
      <c r="A14" s="88">
        <v>11</v>
      </c>
      <c r="B14" s="88" t="s">
        <v>5</v>
      </c>
      <c r="C14" s="88" t="s">
        <v>114</v>
      </c>
      <c r="D14" s="88">
        <v>85</v>
      </c>
      <c r="E14" s="88" t="s">
        <v>128</v>
      </c>
      <c r="F14" s="89">
        <v>44381</v>
      </c>
      <c r="G14" s="88" t="s">
        <v>125</v>
      </c>
    </row>
    <row r="15" spans="1:7" x14ac:dyDescent="0.35">
      <c r="A15" s="88">
        <v>12</v>
      </c>
      <c r="B15" s="88" t="s">
        <v>6</v>
      </c>
      <c r="C15" s="88" t="s">
        <v>123</v>
      </c>
      <c r="D15" s="88">
        <v>90</v>
      </c>
      <c r="E15" s="88" t="s">
        <v>128</v>
      </c>
      <c r="F15" s="89">
        <v>44382</v>
      </c>
      <c r="G15" s="88" t="s">
        <v>121</v>
      </c>
    </row>
    <row r="16" spans="1:7" x14ac:dyDescent="0.35">
      <c r="A16" s="88">
        <v>13</v>
      </c>
      <c r="B16" s="88" t="s">
        <v>7</v>
      </c>
      <c r="C16" s="88" t="s">
        <v>114</v>
      </c>
      <c r="D16" s="88">
        <v>80</v>
      </c>
      <c r="E16" s="88" t="s">
        <v>118</v>
      </c>
      <c r="F16" s="89">
        <v>44383</v>
      </c>
      <c r="G16" s="88" t="s">
        <v>119</v>
      </c>
    </row>
    <row r="17" spans="1:7" x14ac:dyDescent="0.35">
      <c r="A17" s="88">
        <v>14</v>
      </c>
      <c r="B17" s="88" t="s">
        <v>8</v>
      </c>
      <c r="C17" s="88" t="s">
        <v>114</v>
      </c>
      <c r="D17" s="88">
        <v>79</v>
      </c>
      <c r="E17" s="88" t="s">
        <v>115</v>
      </c>
      <c r="F17" s="89">
        <v>44384</v>
      </c>
      <c r="G17" s="88" t="s">
        <v>129</v>
      </c>
    </row>
    <row r="18" spans="1:7" x14ac:dyDescent="0.35">
      <c r="A18" s="88">
        <v>15</v>
      </c>
      <c r="B18" s="88" t="s">
        <v>9</v>
      </c>
      <c r="C18" s="88" t="s">
        <v>114</v>
      </c>
      <c r="D18" s="88">
        <v>78</v>
      </c>
      <c r="E18" s="88" t="s">
        <v>128</v>
      </c>
      <c r="F18" s="89">
        <v>44355</v>
      </c>
      <c r="G18" s="88" t="s">
        <v>121</v>
      </c>
    </row>
    <row r="19" spans="1:7" x14ac:dyDescent="0.35">
      <c r="A19" s="88">
        <v>16</v>
      </c>
      <c r="B19" s="88" t="s">
        <v>10</v>
      </c>
      <c r="C19" s="88" t="s">
        <v>114</v>
      </c>
      <c r="D19" s="88">
        <v>82</v>
      </c>
      <c r="E19" s="88" t="s">
        <v>118</v>
      </c>
      <c r="F19" s="89">
        <v>44385</v>
      </c>
      <c r="G19" s="88" t="s">
        <v>119</v>
      </c>
    </row>
    <row r="20" spans="1:7" x14ac:dyDescent="0.35">
      <c r="A20" s="86">
        <v>17</v>
      </c>
      <c r="B20" s="86" t="s">
        <v>11</v>
      </c>
      <c r="C20" s="86" t="s">
        <v>114</v>
      </c>
      <c r="D20" s="86">
        <v>75</v>
      </c>
      <c r="E20" s="86" t="s">
        <v>115</v>
      </c>
      <c r="F20" s="87">
        <v>44356</v>
      </c>
      <c r="G20" s="86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3AB4-16A8-4979-8E13-5AC4DB3FE69F}">
  <dimension ref="A1:B7"/>
  <sheetViews>
    <sheetView workbookViewId="0">
      <selection activeCell="A3" sqref="A3:B7"/>
    </sheetView>
  </sheetViews>
  <sheetFormatPr defaultRowHeight="14.5" x14ac:dyDescent="0.35"/>
  <cols>
    <col min="1" max="1" width="12.453125" bestFit="1" customWidth="1"/>
    <col min="2" max="2" width="16.54296875" bestFit="1" customWidth="1"/>
    <col min="3" max="3" width="10.54296875" bestFit="1" customWidth="1"/>
    <col min="4" max="4" width="7.453125" bestFit="1" customWidth="1"/>
    <col min="5" max="5" width="6.54296875" bestFit="1" customWidth="1"/>
    <col min="6" max="6" width="5.26953125" bestFit="1" customWidth="1"/>
    <col min="7" max="7" width="5.7265625" bestFit="1" customWidth="1"/>
    <col min="8" max="8" width="8.6328125" bestFit="1" customWidth="1"/>
    <col min="9" max="9" width="6.36328125" bestFit="1" customWidth="1"/>
    <col min="10" max="10" width="7.26953125" bestFit="1" customWidth="1"/>
    <col min="11" max="11" width="9.1796875" bestFit="1" customWidth="1"/>
    <col min="12" max="12" width="5.453125" bestFit="1" customWidth="1"/>
    <col min="13" max="13" width="6.6328125" bestFit="1" customWidth="1"/>
    <col min="14" max="14" width="7.453125" bestFit="1" customWidth="1"/>
    <col min="15" max="15" width="7.54296875" bestFit="1" customWidth="1"/>
    <col min="16" max="16" width="5.90625" bestFit="1" customWidth="1"/>
    <col min="17" max="17" width="7.81640625" bestFit="1" customWidth="1"/>
    <col min="18" max="18" width="4.7265625" bestFit="1" customWidth="1"/>
    <col min="19" max="19" width="10.7265625" bestFit="1" customWidth="1"/>
  </cols>
  <sheetData>
    <row r="1" spans="1:2" x14ac:dyDescent="0.35">
      <c r="A1" s="96" t="s">
        <v>107</v>
      </c>
      <c r="B1" t="s">
        <v>174</v>
      </c>
    </row>
    <row r="3" spans="1:2" x14ac:dyDescent="0.35">
      <c r="A3" s="96" t="s">
        <v>170</v>
      </c>
      <c r="B3" t="s">
        <v>171</v>
      </c>
    </row>
    <row r="4" spans="1:2" x14ac:dyDescent="0.35">
      <c r="A4" s="97" t="s">
        <v>115</v>
      </c>
      <c r="B4">
        <v>379</v>
      </c>
    </row>
    <row r="5" spans="1:2" x14ac:dyDescent="0.35">
      <c r="A5" s="97" t="s">
        <v>118</v>
      </c>
      <c r="B5">
        <v>430</v>
      </c>
    </row>
    <row r="6" spans="1:2" x14ac:dyDescent="0.35">
      <c r="A6" s="97" t="s">
        <v>128</v>
      </c>
      <c r="B6">
        <v>380</v>
      </c>
    </row>
    <row r="7" spans="1:2" x14ac:dyDescent="0.35">
      <c r="A7" s="97" t="s">
        <v>172</v>
      </c>
      <c r="B7">
        <v>1189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9FCA-E0C4-4C5F-8E66-FA820D0A5F7E}">
  <dimension ref="A1:G20"/>
  <sheetViews>
    <sheetView zoomScaleNormal="100" workbookViewId="0">
      <selection activeCell="G9" sqref="G9"/>
    </sheetView>
  </sheetViews>
  <sheetFormatPr defaultRowHeight="14.5" x14ac:dyDescent="0.35"/>
  <sheetData>
    <row r="1" spans="1:7" x14ac:dyDescent="0.35">
      <c r="A1" t="s">
        <v>187</v>
      </c>
    </row>
    <row r="2" spans="1:7" x14ac:dyDescent="0.35">
      <c r="C2" s="94" t="s">
        <v>188</v>
      </c>
    </row>
    <row r="3" spans="1:7" ht="43.5" x14ac:dyDescent="0.35">
      <c r="A3" s="82" t="s">
        <v>107</v>
      </c>
      <c r="B3" s="84" t="s">
        <v>108</v>
      </c>
      <c r="C3" s="84" t="s">
        <v>109</v>
      </c>
      <c r="D3" s="84" t="s">
        <v>110</v>
      </c>
      <c r="E3" s="95" t="s">
        <v>111</v>
      </c>
    </row>
    <row r="4" spans="1:7" x14ac:dyDescent="0.35">
      <c r="A4" s="86" t="s">
        <v>113</v>
      </c>
      <c r="B4" s="86" t="s">
        <v>114</v>
      </c>
      <c r="C4" s="86">
        <v>45</v>
      </c>
      <c r="D4" s="86" t="s">
        <v>115</v>
      </c>
      <c r="E4" s="87">
        <v>44348</v>
      </c>
    </row>
    <row r="5" spans="1:7" x14ac:dyDescent="0.35">
      <c r="A5" s="86" t="s">
        <v>117</v>
      </c>
      <c r="B5" s="86" t="s">
        <v>114</v>
      </c>
      <c r="C5" s="86">
        <v>65</v>
      </c>
      <c r="D5" s="86" t="s">
        <v>118</v>
      </c>
      <c r="E5" s="87">
        <v>44349</v>
      </c>
    </row>
    <row r="6" spans="1:7" x14ac:dyDescent="0.35">
      <c r="A6" s="88" t="s">
        <v>120</v>
      </c>
      <c r="B6" s="88" t="s">
        <v>114</v>
      </c>
      <c r="C6" s="88">
        <v>75</v>
      </c>
      <c r="D6" s="88" t="s">
        <v>115</v>
      </c>
      <c r="E6" s="89">
        <v>44350</v>
      </c>
    </row>
    <row r="7" spans="1:7" x14ac:dyDescent="0.35">
      <c r="A7" s="86" t="s">
        <v>122</v>
      </c>
      <c r="B7" s="86" t="s">
        <v>123</v>
      </c>
      <c r="C7" s="86">
        <v>85</v>
      </c>
      <c r="D7" s="86" t="s">
        <v>118</v>
      </c>
      <c r="E7" s="87">
        <v>44351</v>
      </c>
    </row>
    <row r="8" spans="1:7" x14ac:dyDescent="0.35">
      <c r="A8" s="86" t="s">
        <v>124</v>
      </c>
      <c r="B8" s="86" t="s">
        <v>114</v>
      </c>
      <c r="C8" s="86">
        <v>57</v>
      </c>
      <c r="D8" s="86" t="s">
        <v>115</v>
      </c>
      <c r="E8" s="87">
        <v>44352</v>
      </c>
    </row>
    <row r="9" spans="1:7" x14ac:dyDescent="0.35">
      <c r="A9" s="88" t="s">
        <v>126</v>
      </c>
      <c r="B9" s="88" t="s">
        <v>123</v>
      </c>
      <c r="C9" s="88">
        <v>48</v>
      </c>
      <c r="D9" s="88" t="s">
        <v>115</v>
      </c>
      <c r="E9" s="89">
        <v>44353</v>
      </c>
    </row>
    <row r="10" spans="1:7" x14ac:dyDescent="0.35">
      <c r="A10" s="86" t="s">
        <v>127</v>
      </c>
      <c r="B10" s="86" t="s">
        <v>123</v>
      </c>
      <c r="C10" s="86">
        <v>58</v>
      </c>
      <c r="D10" s="86" t="s">
        <v>118</v>
      </c>
      <c r="E10" s="87">
        <v>44354</v>
      </c>
    </row>
    <row r="11" spans="1:7" x14ac:dyDescent="0.35">
      <c r="A11" s="88" t="s">
        <v>12</v>
      </c>
      <c r="B11" s="88" t="s">
        <v>123</v>
      </c>
      <c r="C11" s="88">
        <v>66</v>
      </c>
      <c r="D11" s="88" t="s">
        <v>128</v>
      </c>
      <c r="E11" s="89">
        <v>44378</v>
      </c>
    </row>
    <row r="12" spans="1:7" x14ac:dyDescent="0.35">
      <c r="A12" s="86" t="s">
        <v>3</v>
      </c>
      <c r="B12" s="86" t="s">
        <v>123</v>
      </c>
      <c r="C12" s="86">
        <v>60</v>
      </c>
      <c r="D12" s="86" t="s">
        <v>118</v>
      </c>
      <c r="E12" s="87">
        <v>44379</v>
      </c>
    </row>
    <row r="13" spans="1:7" x14ac:dyDescent="0.35">
      <c r="A13" s="86" t="s">
        <v>4</v>
      </c>
      <c r="B13" s="86" t="s">
        <v>114</v>
      </c>
      <c r="C13" s="86">
        <v>61</v>
      </c>
      <c r="D13" s="86" t="s">
        <v>128</v>
      </c>
      <c r="E13" s="87">
        <v>44380</v>
      </c>
    </row>
    <row r="14" spans="1:7" x14ac:dyDescent="0.35">
      <c r="A14" s="88" t="s">
        <v>5</v>
      </c>
      <c r="B14" s="88" t="s">
        <v>114</v>
      </c>
      <c r="C14" s="88">
        <v>85</v>
      </c>
      <c r="D14" s="88" t="s">
        <v>128</v>
      </c>
      <c r="E14" s="89">
        <v>44381</v>
      </c>
      <c r="G14" t="s">
        <v>175</v>
      </c>
    </row>
    <row r="15" spans="1:7" x14ac:dyDescent="0.35">
      <c r="A15" s="88" t="s">
        <v>6</v>
      </c>
      <c r="B15" s="88" t="s">
        <v>123</v>
      </c>
      <c r="C15" s="88">
        <v>90</v>
      </c>
      <c r="D15" s="88" t="s">
        <v>128</v>
      </c>
      <c r="E15" s="89">
        <v>44382</v>
      </c>
    </row>
    <row r="16" spans="1:7" x14ac:dyDescent="0.35">
      <c r="A16" s="88" t="s">
        <v>7</v>
      </c>
      <c r="B16" s="88" t="s">
        <v>114</v>
      </c>
      <c r="C16" s="88">
        <v>80</v>
      </c>
      <c r="D16" s="88" t="s">
        <v>118</v>
      </c>
      <c r="E16" s="89">
        <v>44383</v>
      </c>
    </row>
    <row r="17" spans="1:5" x14ac:dyDescent="0.35">
      <c r="A17" s="88" t="s">
        <v>8</v>
      </c>
      <c r="B17" s="88" t="s">
        <v>114</v>
      </c>
      <c r="C17" s="88">
        <v>79</v>
      </c>
      <c r="D17" s="88" t="s">
        <v>115</v>
      </c>
      <c r="E17" s="89">
        <v>44384</v>
      </c>
    </row>
    <row r="18" spans="1:5" x14ac:dyDescent="0.35">
      <c r="A18" s="88" t="s">
        <v>9</v>
      </c>
      <c r="B18" s="88" t="s">
        <v>114</v>
      </c>
      <c r="C18" s="88">
        <v>78</v>
      </c>
      <c r="D18" s="88" t="s">
        <v>128</v>
      </c>
      <c r="E18" s="89">
        <v>44355</v>
      </c>
    </row>
    <row r="19" spans="1:5" x14ac:dyDescent="0.35">
      <c r="A19" s="88" t="s">
        <v>10</v>
      </c>
      <c r="B19" s="88" t="s">
        <v>114</v>
      </c>
      <c r="C19" s="88">
        <v>82</v>
      </c>
      <c r="D19" s="88" t="s">
        <v>118</v>
      </c>
      <c r="E19" s="89">
        <v>44385</v>
      </c>
    </row>
    <row r="20" spans="1:5" x14ac:dyDescent="0.35">
      <c r="A20" s="86" t="s">
        <v>11</v>
      </c>
      <c r="B20" s="86" t="s">
        <v>114</v>
      </c>
      <c r="C20" s="86">
        <v>75</v>
      </c>
      <c r="D20" s="86" t="s">
        <v>115</v>
      </c>
      <c r="E20" s="87">
        <v>44356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F8B4-37B7-4F44-9B3D-5F2FFAC0619F}">
  <dimension ref="A1"/>
  <sheetViews>
    <sheetView showGridLines="0" showRowColHeaders="0" topLeftCell="D4" workbookViewId="0">
      <selection activeCell="N4" sqref="N4:O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FBF1-C9E0-405A-9CAB-79400D9C8707}">
  <dimension ref="A1:R19"/>
  <sheetViews>
    <sheetView workbookViewId="0">
      <selection activeCell="L7" sqref="L7"/>
    </sheetView>
  </sheetViews>
  <sheetFormatPr defaultRowHeight="14.5" x14ac:dyDescent="0.35"/>
  <cols>
    <col min="7" max="7" width="12.1796875" customWidth="1"/>
  </cols>
  <sheetData>
    <row r="1" spans="1:18" x14ac:dyDescent="0.35">
      <c r="A1" t="s">
        <v>185</v>
      </c>
    </row>
    <row r="2" spans="1:18" x14ac:dyDescent="0.35">
      <c r="B2" s="94" t="s">
        <v>186</v>
      </c>
    </row>
    <row r="3" spans="1:18" ht="72.5" x14ac:dyDescent="0.35">
      <c r="A3" s="103" t="s">
        <v>141</v>
      </c>
      <c r="B3" s="103" t="s">
        <v>142</v>
      </c>
      <c r="C3" s="103" t="s">
        <v>143</v>
      </c>
      <c r="D3" s="103" t="s">
        <v>144</v>
      </c>
      <c r="E3" s="104" t="s">
        <v>145</v>
      </c>
      <c r="F3" s="104" t="s">
        <v>176</v>
      </c>
      <c r="G3" s="105" t="s">
        <v>177</v>
      </c>
      <c r="H3" s="103"/>
      <c r="J3" s="99" t="s">
        <v>180</v>
      </c>
    </row>
    <row r="4" spans="1:18" ht="14.5" customHeight="1" x14ac:dyDescent="0.35">
      <c r="A4" s="7">
        <v>673</v>
      </c>
      <c r="B4" s="7">
        <v>34</v>
      </c>
      <c r="C4" s="7">
        <v>2</v>
      </c>
      <c r="D4" s="7">
        <v>0</v>
      </c>
      <c r="E4" s="7">
        <v>101448.88</v>
      </c>
      <c r="F4" s="7" t="e">
        <f>E4/D4</f>
        <v>#DIV/0!</v>
      </c>
      <c r="G4" s="101" t="s">
        <v>6</v>
      </c>
      <c r="H4" s="7" t="s">
        <v>178</v>
      </c>
      <c r="I4" s="138" t="s">
        <v>189</v>
      </c>
      <c r="J4" s="139"/>
      <c r="K4" s="139"/>
      <c r="L4" s="139"/>
      <c r="M4" s="139"/>
      <c r="N4" s="139"/>
      <c r="O4" s="139"/>
      <c r="P4" s="139"/>
      <c r="Q4" s="139"/>
      <c r="R4" s="139"/>
    </row>
    <row r="5" spans="1:18" x14ac:dyDescent="0.35">
      <c r="A5" s="7">
        <v>243</v>
      </c>
      <c r="B5" s="7">
        <v>45</v>
      </c>
      <c r="C5" s="7">
        <v>1</v>
      </c>
      <c r="D5" s="7">
        <v>83807.86</v>
      </c>
      <c r="E5" s="7">
        <v>115462.58</v>
      </c>
      <c r="F5" s="7">
        <f t="shared" ref="F5:F19" si="0">E5/D5</f>
        <v>1.377705861956146</v>
      </c>
      <c r="G5" s="101" t="s">
        <v>5</v>
      </c>
      <c r="H5" s="7" t="s">
        <v>11</v>
      </c>
      <c r="I5" s="102"/>
      <c r="J5" s="93"/>
      <c r="K5" s="93"/>
      <c r="L5" s="93"/>
      <c r="M5" s="93"/>
      <c r="N5" s="93"/>
      <c r="O5" s="93"/>
      <c r="P5" s="93"/>
      <c r="Q5" s="93"/>
      <c r="R5" s="93"/>
    </row>
    <row r="6" spans="1:18" x14ac:dyDescent="0.35">
      <c r="A6" s="7">
        <v>564</v>
      </c>
      <c r="B6" s="7">
        <v>46</v>
      </c>
      <c r="C6" s="7">
        <v>8</v>
      </c>
      <c r="D6" s="7">
        <v>64358.76</v>
      </c>
      <c r="E6" s="7">
        <v>1276.28</v>
      </c>
      <c r="F6" s="7">
        <f t="shared" si="0"/>
        <v>1.9830711468027042E-2</v>
      </c>
      <c r="G6" s="101" t="s">
        <v>9</v>
      </c>
      <c r="H6" s="7" t="s">
        <v>179</v>
      </c>
    </row>
    <row r="7" spans="1:18" x14ac:dyDescent="0.35">
      <c r="A7" s="7">
        <v>576</v>
      </c>
      <c r="B7" s="7">
        <v>36</v>
      </c>
      <c r="C7" s="7">
        <v>1</v>
      </c>
      <c r="D7" s="7">
        <v>0</v>
      </c>
      <c r="E7" s="7">
        <v>43489.98</v>
      </c>
      <c r="F7" s="7" t="e">
        <f t="shared" si="0"/>
        <v>#DIV/0!</v>
      </c>
    </row>
    <row r="8" spans="1:18" ht="43.5" customHeight="1" x14ac:dyDescent="0.35">
      <c r="A8" s="7">
        <v>987</v>
      </c>
      <c r="B8" s="7">
        <v>26</v>
      </c>
      <c r="C8" s="7">
        <v>2</v>
      </c>
      <c r="D8" s="7">
        <v>125510.82</v>
      </c>
      <c r="E8" s="7">
        <v>1957503.68</v>
      </c>
      <c r="F8" s="7">
        <f t="shared" si="0"/>
        <v>15.596294247778795</v>
      </c>
      <c r="G8" s="97" t="s">
        <v>181</v>
      </c>
      <c r="H8" s="97"/>
      <c r="I8" s="100"/>
      <c r="J8" s="100"/>
      <c r="K8" s="1"/>
    </row>
    <row r="9" spans="1:18" x14ac:dyDescent="0.35">
      <c r="A9" s="7">
        <v>456</v>
      </c>
      <c r="B9" s="7">
        <v>37</v>
      </c>
      <c r="C9" s="7">
        <v>8</v>
      </c>
      <c r="D9" s="7">
        <v>113755.78</v>
      </c>
      <c r="E9" s="7">
        <v>1791517.38</v>
      </c>
      <c r="F9" s="7">
        <f t="shared" si="0"/>
        <v>15.748803093785652</v>
      </c>
      <c r="G9" t="s">
        <v>183</v>
      </c>
    </row>
    <row r="10" spans="1:18" x14ac:dyDescent="0.35">
      <c r="A10" s="7">
        <v>678</v>
      </c>
      <c r="B10" s="7">
        <v>39</v>
      </c>
      <c r="C10" s="7">
        <v>7</v>
      </c>
      <c r="D10" s="7">
        <v>0</v>
      </c>
      <c r="E10" s="7">
        <v>1831.08</v>
      </c>
      <c r="F10" s="7" t="e">
        <f t="shared" si="0"/>
        <v>#DIV/0!</v>
      </c>
      <c r="H10" s="94" t="s">
        <v>184</v>
      </c>
      <c r="I10" s="94"/>
    </row>
    <row r="11" spans="1:18" ht="58" x14ac:dyDescent="0.35">
      <c r="A11" s="7">
        <v>977</v>
      </c>
      <c r="B11" s="7">
        <v>45</v>
      </c>
      <c r="C11" s="7">
        <v>4</v>
      </c>
      <c r="D11" s="7">
        <v>114220.74</v>
      </c>
      <c r="E11" s="7">
        <v>199544.78</v>
      </c>
      <c r="F11" s="7">
        <f t="shared" si="0"/>
        <v>1.7470100438851996</v>
      </c>
      <c r="G11" s="93" t="s">
        <v>182</v>
      </c>
    </row>
    <row r="12" spans="1:18" x14ac:dyDescent="0.35">
      <c r="A12" s="7">
        <v>535</v>
      </c>
      <c r="B12" s="7">
        <v>36</v>
      </c>
      <c r="C12" s="7">
        <v>2</v>
      </c>
      <c r="D12" s="7">
        <v>134603.88</v>
      </c>
      <c r="E12" s="7">
        <v>23558.48</v>
      </c>
      <c r="F12" s="7">
        <f t="shared" si="0"/>
        <v>0.17502080920698571</v>
      </c>
    </row>
    <row r="13" spans="1:18" x14ac:dyDescent="0.35">
      <c r="A13" s="7">
        <v>565</v>
      </c>
      <c r="B13" s="7">
        <v>38</v>
      </c>
      <c r="C13" s="7">
        <v>6</v>
      </c>
      <c r="D13" s="7">
        <v>102016.72</v>
      </c>
      <c r="E13" s="7">
        <v>227572.18</v>
      </c>
      <c r="F13" s="7">
        <f t="shared" si="0"/>
        <v>2.2307341384823975</v>
      </c>
    </row>
    <row r="14" spans="1:18" x14ac:dyDescent="0.35">
      <c r="A14" s="7">
        <v>678</v>
      </c>
      <c r="B14" s="7">
        <v>39</v>
      </c>
      <c r="C14" s="7">
        <v>3</v>
      </c>
      <c r="D14" s="7">
        <v>0</v>
      </c>
      <c r="E14" s="7">
        <v>24154385.879999999</v>
      </c>
      <c r="F14" s="7" t="e">
        <f t="shared" si="0"/>
        <v>#DIV/0!</v>
      </c>
    </row>
    <row r="15" spans="1:18" x14ac:dyDescent="0.35">
      <c r="A15" s="7">
        <v>345</v>
      </c>
      <c r="B15" s="7">
        <v>56</v>
      </c>
      <c r="C15" s="7">
        <v>10</v>
      </c>
      <c r="D15" s="7">
        <v>0</v>
      </c>
      <c r="E15" s="7">
        <v>255599.58</v>
      </c>
      <c r="F15" s="7" t="e">
        <f t="shared" si="0"/>
        <v>#DIV/0!</v>
      </c>
    </row>
    <row r="16" spans="1:18" x14ac:dyDescent="0.35">
      <c r="A16" s="7">
        <v>356</v>
      </c>
      <c r="B16" s="7">
        <v>34</v>
      </c>
      <c r="C16" s="7">
        <v>5</v>
      </c>
      <c r="D16" s="7">
        <v>0</v>
      </c>
      <c r="E16" s="7">
        <v>21169613.280000001</v>
      </c>
      <c r="F16" s="7" t="e">
        <f t="shared" si="0"/>
        <v>#DIV/0!</v>
      </c>
    </row>
    <row r="17" spans="1:6" x14ac:dyDescent="0.35">
      <c r="A17" s="7">
        <v>243</v>
      </c>
      <c r="B17" s="7">
        <v>24</v>
      </c>
      <c r="C17" s="7">
        <v>7</v>
      </c>
      <c r="D17" s="7">
        <v>14219.41</v>
      </c>
      <c r="E17" s="7">
        <v>2836126.98</v>
      </c>
      <c r="F17" s="7">
        <f t="shared" si="0"/>
        <v>199.45461731534573</v>
      </c>
    </row>
    <row r="18" spans="1:6" x14ac:dyDescent="0.35">
      <c r="A18" s="7">
        <v>232</v>
      </c>
      <c r="B18" s="7">
        <v>45</v>
      </c>
      <c r="C18" s="7">
        <v>3</v>
      </c>
      <c r="D18" s="7">
        <v>132602.88</v>
      </c>
      <c r="E18" s="7">
        <v>2940.68</v>
      </c>
      <c r="F18" s="7">
        <f t="shared" si="0"/>
        <v>2.217659224294374E-2</v>
      </c>
    </row>
    <row r="19" spans="1:6" x14ac:dyDescent="0.35">
      <c r="A19" s="7">
        <v>232</v>
      </c>
      <c r="B19" s="7">
        <v>34</v>
      </c>
      <c r="C19" s="7">
        <v>1</v>
      </c>
      <c r="D19" s="7">
        <v>0</v>
      </c>
      <c r="E19" s="7">
        <v>11654.38</v>
      </c>
      <c r="F19" s="7" t="e">
        <f t="shared" si="0"/>
        <v>#DIV/0!</v>
      </c>
    </row>
  </sheetData>
  <autoFilter ref="A3:H3" xr:uid="{DA58FBF1-C9E0-405A-9CAB-79400D9C8707}"/>
  <mergeCells count="1">
    <mergeCell ref="I4:R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CDCB-2798-4C78-8803-E3902E734CE2}">
  <dimension ref="A2:G5"/>
  <sheetViews>
    <sheetView tabSelected="1" workbookViewId="0">
      <selection activeCell="G10" sqref="G10"/>
    </sheetView>
  </sheetViews>
  <sheetFormatPr defaultRowHeight="14.5" x14ac:dyDescent="0.35"/>
  <cols>
    <col min="1" max="5" width="9.7265625" customWidth="1"/>
    <col min="7" max="7" width="11.90625" customWidth="1"/>
  </cols>
  <sheetData>
    <row r="2" spans="1:7" x14ac:dyDescent="0.35">
      <c r="A2" s="7" t="s">
        <v>190</v>
      </c>
      <c r="B2" s="7" t="s">
        <v>192</v>
      </c>
      <c r="C2" s="7" t="s">
        <v>191</v>
      </c>
      <c r="D2" s="7" t="s">
        <v>193</v>
      </c>
      <c r="E2" s="7" t="s">
        <v>194</v>
      </c>
      <c r="F2" s="7" t="s">
        <v>195</v>
      </c>
      <c r="G2" s="7" t="s">
        <v>196</v>
      </c>
    </row>
    <row r="3" spans="1:7" x14ac:dyDescent="0.35">
      <c r="A3" s="7" t="s">
        <v>197</v>
      </c>
      <c r="B3" s="7">
        <v>80</v>
      </c>
      <c r="C3" s="7">
        <v>78</v>
      </c>
      <c r="D3" s="7">
        <v>76</v>
      </c>
      <c r="E3" s="7">
        <v>81</v>
      </c>
      <c r="F3" s="7">
        <v>84.999999999999829</v>
      </c>
      <c r="G3" s="7">
        <f>AVERAGE(B3:F3)</f>
        <v>79.999999999999972</v>
      </c>
    </row>
    <row r="4" spans="1:7" x14ac:dyDescent="0.35">
      <c r="A4" s="7" t="s">
        <v>198</v>
      </c>
      <c r="B4" s="7">
        <v>82</v>
      </c>
      <c r="C4" s="7">
        <v>76</v>
      </c>
      <c r="D4" s="7">
        <v>80</v>
      </c>
      <c r="E4" s="7">
        <v>79</v>
      </c>
      <c r="F4" s="7">
        <v>90</v>
      </c>
      <c r="G4" s="7">
        <f t="shared" ref="G4:G5" si="0">AVERAGE(B4:F4)</f>
        <v>81.400000000000006</v>
      </c>
    </row>
    <row r="5" spans="1:7" x14ac:dyDescent="0.35">
      <c r="A5" s="7" t="s">
        <v>199</v>
      </c>
      <c r="B5" s="7">
        <v>83</v>
      </c>
      <c r="C5" s="7">
        <v>79</v>
      </c>
      <c r="D5" s="7">
        <v>81</v>
      </c>
      <c r="E5" s="7">
        <v>80</v>
      </c>
      <c r="F5" s="7">
        <v>100</v>
      </c>
      <c r="G5" s="7">
        <f t="shared" si="0"/>
        <v>84.6</v>
      </c>
    </row>
  </sheetData>
  <scenarios current="1" show="1">
    <scenario name="capstone 4" locked="1" count="1" user="LENOVO" comment="Created by LENOVO on 8/28/2025">
      <inputCells r="F5" val="100"/>
    </scenario>
    <scenario name="capstone" locked="1" count="1" user="LENOVO" comment="Created by LENOVO on 8/28/2025">
      <inputCells r="F4" val="90"/>
    </scenario>
  </scenario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chart in excel</vt:lpstr>
      <vt:lpstr>Sheet11</vt:lpstr>
      <vt:lpstr>sheet6</vt:lpstr>
      <vt:lpstr>Sheet17</vt:lpstr>
      <vt:lpstr>Sheet15</vt:lpstr>
      <vt:lpstr>Dashboarding in Excel</vt:lpstr>
      <vt:lpstr>Sheet21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2025-08-26T08:45:16Z</cp:lastPrinted>
  <dcterms:created xsi:type="dcterms:W3CDTF">2025-08-05T08:07:16Z</dcterms:created>
  <dcterms:modified xsi:type="dcterms:W3CDTF">2025-08-28T11:30:45Z</dcterms:modified>
</cp:coreProperties>
</file>